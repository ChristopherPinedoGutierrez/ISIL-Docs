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fatt\Google Drive\ISIL\Gestion de Operaciones\"/>
    </mc:Choice>
  </mc:AlternateContent>
  <workbookProtection workbookAlgorithmName="SHA-512" workbookHashValue="5P5+pYewRQ7dav1gUymQdtVjydqasz1MGGesGZqMv8ndGOGFbv+78hKqg2N3L6x3EWL51QCiM9zfjMeRSQNNHA==" workbookSaltValue="QrGznNDXqDapSZZfnN+2CQ==" workbookSpinCount="100000" lockStructure="1"/>
  <bookViews>
    <workbookView xWindow="0" yWindow="0" windowWidth="20490" windowHeight="7680" xr2:uid="{00000000-000D-0000-FFFF-FFFF00000000}"/>
  </bookViews>
  <sheets>
    <sheet name="Datos" sheetId="1" r:id="rId1"/>
    <sheet name="Gráfico" sheetId="4" r:id="rId2"/>
  </sheets>
  <calcPr calcId="171027"/>
</workbook>
</file>

<file path=xl/calcChain.xml><?xml version="1.0" encoding="utf-8"?>
<calcChain xmlns="http://schemas.openxmlformats.org/spreadsheetml/2006/main">
  <c r="C14" i="1" l="1"/>
  <c r="G7" i="1" s="1"/>
  <c r="G3" i="1" l="1"/>
  <c r="H3" i="1" s="1"/>
  <c r="I3" i="1" s="1"/>
  <c r="G9" i="1"/>
  <c r="G10" i="1"/>
  <c r="G12" i="1"/>
  <c r="G11" i="1"/>
  <c r="G8" i="1"/>
  <c r="G6" i="1"/>
  <c r="G5" i="1"/>
  <c r="G4" i="1"/>
  <c r="H4" i="1" l="1"/>
  <c r="I4" i="1" s="1"/>
  <c r="H5" i="1" l="1"/>
  <c r="I5" i="1" s="1"/>
  <c r="H6" i="1" l="1"/>
  <c r="I6" i="1" s="1"/>
  <c r="H7" i="1" l="1"/>
  <c r="I7" i="1" s="1"/>
  <c r="H8" i="1" l="1"/>
  <c r="I8" i="1" s="1"/>
  <c r="H9" i="1" l="1"/>
  <c r="I9" i="1" s="1"/>
  <c r="H10" i="1" l="1"/>
  <c r="I10" i="1" s="1"/>
  <c r="H11" i="1" l="1"/>
  <c r="I11" i="1" s="1"/>
  <c r="H12" i="1" l="1"/>
  <c r="I12" i="1" s="1"/>
</calcChain>
</file>

<file path=xl/sharedStrings.xml><?xml version="1.0" encoding="utf-8"?>
<sst xmlns="http://schemas.openxmlformats.org/spreadsheetml/2006/main" count="21" uniqueCount="19">
  <si>
    <t>Cantidad de Ocurrencias</t>
  </si>
  <si>
    <t>Total Ocurrencias</t>
  </si>
  <si>
    <t>%</t>
  </si>
  <si>
    <t>% Acumulado</t>
  </si>
  <si>
    <t>Importancia</t>
  </si>
  <si>
    <t>DATOS ORDENADOS</t>
  </si>
  <si>
    <t>DATOS ORIGINALES</t>
  </si>
  <si>
    <t>Línea 80%</t>
  </si>
  <si>
    <t>Causa</t>
  </si>
  <si>
    <t>Causa I</t>
  </si>
  <si>
    <t>Causa J</t>
  </si>
  <si>
    <t>Causa K</t>
  </si>
  <si>
    <t>Orden</t>
  </si>
  <si>
    <t>Limpieza</t>
  </si>
  <si>
    <t>Entrenamiento</t>
  </si>
  <si>
    <t>Actitud</t>
  </si>
  <si>
    <t>Disciplina</t>
  </si>
  <si>
    <t>Correción</t>
  </si>
  <si>
    <t>Preparación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</si>
</sst>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1" fillId="2" borderId="1" xfId="0" applyFont="1" applyFill="1" applyBorder="1" applyAlignment="1" applyProtection="1">
      <alignment horizontal="center" vertical="center" wrapText="1"/>
    </xf>
    <xf numFmtId="49" fontId="0" fillId="0" borderId="0" xfId="0" applyNumberFormat="1" applyProtection="1"/>
    <xf numFmtId="10" fontId="0" fillId="0" borderId="1" xfId="0" applyNumberFormat="1" applyBorder="1" applyProtection="1"/>
    <xf numFmtId="10" fontId="1" fillId="0" borderId="1" xfId="0" applyNumberFormat="1" applyFont="1" applyBorder="1" applyProtection="1"/>
    <xf numFmtId="0" fontId="0" fillId="0" borderId="1" xfId="0" applyBorder="1" applyAlignment="1" applyProtection="1">
      <alignment horizontal="center"/>
    </xf>
    <xf numFmtId="49" fontId="0" fillId="0" borderId="0" xfId="0" applyNumberFormat="1" applyAlignment="1" applyProtection="1"/>
    <xf numFmtId="0" fontId="3" fillId="2" borderId="1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right" vertical="center"/>
    </xf>
    <xf numFmtId="0" fontId="2" fillId="0" borderId="0" xfId="0" applyFont="1" applyAlignment="1" applyProtection="1">
      <alignment horizontal="center" vertical="center"/>
    </xf>
    <xf numFmtId="49" fontId="0" fillId="0" borderId="0" xfId="0" applyNumberFormat="1" applyFill="1" applyBorder="1" applyProtection="1"/>
    <xf numFmtId="0" fontId="0" fillId="0" borderId="0" xfId="0" applyAlignment="1" applyProtection="1">
      <alignment horizontal="right"/>
    </xf>
    <xf numFmtId="0" fontId="1" fillId="2" borderId="3" xfId="0" applyFont="1" applyFill="1" applyBorder="1" applyAlignment="1" applyProtection="1">
      <alignment horizontal="center" vertical="center" textRotation="90"/>
    </xf>
    <xf numFmtId="0" fontId="1" fillId="2" borderId="2" xfId="0" applyFont="1" applyFill="1" applyBorder="1" applyAlignment="1" applyProtection="1">
      <alignment horizontal="center" vertical="center" textRotation="90"/>
    </xf>
    <xf numFmtId="0" fontId="1" fillId="2" borderId="4" xfId="0" applyFont="1" applyFill="1" applyBorder="1" applyAlignment="1" applyProtection="1">
      <alignment horizontal="center" vertical="center" textRotation="90"/>
    </xf>
  </cellXfs>
  <cellStyles count="1">
    <cellStyle name="Normal" xfId="0" builtinId="0"/>
  </cellStyles>
  <dxfs count="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904389844924901E-2"/>
          <c:y val="7.4954585222301764E-2"/>
          <c:w val="0.84902423458861087"/>
          <c:h val="0.884122802831464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Datos!$F$2</c:f>
              <c:strCache>
                <c:ptCount val="1"/>
                <c:pt idx="0">
                  <c:v>Cantidad de Ocurrencias</c:v>
                </c:pt>
              </c:strCache>
            </c:strRef>
          </c:tx>
          <c:invertIfNegative val="0"/>
          <c:cat>
            <c:numRef>
              <c:f>Datos!$E$3:$E$12</c:f>
              <c:numCache>
                <c:formatCode>General</c:formatCode>
                <c:ptCount val="10"/>
              </c:numCache>
            </c:numRef>
          </c:cat>
          <c:val>
            <c:numRef>
              <c:f>Datos!$F$3:$F$12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6285-401A-9C00-8378DD1C7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815488"/>
        <c:axId val="46850816"/>
      </c:barChart>
      <c:lineChart>
        <c:grouping val="standard"/>
        <c:varyColors val="0"/>
        <c:ser>
          <c:idx val="1"/>
          <c:order val="1"/>
          <c:tx>
            <c:v>Porcentaje Acumulado</c:v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noFill/>
              </a:ln>
            </c:spPr>
          </c:marker>
          <c:cat>
            <c:numRef>
              <c:f>Datos!$E$3:$E$12</c:f>
              <c:numCache>
                <c:formatCode>General</c:formatCode>
                <c:ptCount val="10"/>
              </c:numCache>
            </c:numRef>
          </c:cat>
          <c:val>
            <c:numRef>
              <c:f>Datos!$H$3:$H$12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85-401A-9C00-8378DD1C704D}"/>
            </c:ext>
          </c:extLst>
        </c:ser>
        <c:ser>
          <c:idx val="2"/>
          <c:order val="2"/>
          <c:tx>
            <c:v>División 80%</c:v>
          </c:tx>
          <c:spPr>
            <a:ln w="31750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Datos!$K$3:$K$12</c:f>
              <c:numCache>
                <c:formatCode>0.00%</c:formatCode>
                <c:ptCount val="10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85-401A-9C00-8378DD1C7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6544"/>
        <c:axId val="46852736"/>
      </c:lineChart>
      <c:catAx>
        <c:axId val="46815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Causas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46850816"/>
        <c:crosses val="autoZero"/>
        <c:auto val="1"/>
        <c:lblAlgn val="ctr"/>
        <c:lblOffset val="100"/>
        <c:noMultiLvlLbl val="0"/>
      </c:catAx>
      <c:valAx>
        <c:axId val="468508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Número</a:t>
                </a:r>
                <a:r>
                  <a:rPr lang="es-AR" baseline="0"/>
                  <a:t> de Ocurrencias</a:t>
                </a:r>
                <a:endParaRPr lang="es-AR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815488"/>
        <c:crosses val="autoZero"/>
        <c:crossBetween val="between"/>
      </c:valAx>
      <c:valAx>
        <c:axId val="46852736"/>
        <c:scaling>
          <c:orientation val="minMax"/>
          <c:max val="1"/>
          <c:min val="0"/>
        </c:scaling>
        <c:delete val="0"/>
        <c:axPos val="r"/>
        <c:numFmt formatCode="0.00%" sourceLinked="1"/>
        <c:majorTickMark val="out"/>
        <c:minorTickMark val="in"/>
        <c:tickLblPos val="nextTo"/>
        <c:crossAx val="46956544"/>
        <c:crosses val="max"/>
        <c:crossBetween val="between"/>
      </c:valAx>
      <c:catAx>
        <c:axId val="4695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852736"/>
        <c:crossesAt val="0.8"/>
        <c:auto val="1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áfico2"/>
  <sheetViews>
    <sheetView zoomScale="115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403860</xdr:colOff>
      <xdr:row>14</xdr:row>
      <xdr:rowOff>152400</xdr:rowOff>
    </xdr:from>
    <xdr:to>
      <xdr:col>2</xdr:col>
      <xdr:colOff>533400</xdr:colOff>
      <xdr:row>17</xdr:row>
      <xdr:rowOff>15240</xdr:rowOff>
    </xdr:to>
    <xdr:sp macro="[0]!OrdenarLista" textlink="">
      <xdr:nvSpPr>
        <xdr:cNvPr id="2" name="1 Bise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4840" y="2941320"/>
          <a:ext cx="2240280" cy="41148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1400" b="1"/>
            <a:t>ORDENAR LISTADO</a:t>
          </a:r>
        </a:p>
      </xdr:txBody>
    </xdr:sp>
    <xdr:clientData/>
  </xdr:twoCellAnchor>
  <xdr:twoCellAnchor>
    <xdr:from>
      <xdr:col>2</xdr:col>
      <xdr:colOff>647700</xdr:colOff>
      <xdr:row>14</xdr:row>
      <xdr:rowOff>160020</xdr:rowOff>
    </xdr:from>
    <xdr:to>
      <xdr:col>4</xdr:col>
      <xdr:colOff>1729740</xdr:colOff>
      <xdr:row>17</xdr:row>
      <xdr:rowOff>22860</xdr:rowOff>
    </xdr:to>
    <xdr:sp macro="[0]!EliminarLista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979420" y="2948940"/>
          <a:ext cx="2240280" cy="411480"/>
        </a:xfrm>
        <a:prstGeom prst="bevel">
          <a:avLst/>
        </a:prstGeom>
        <a:solidFill>
          <a:schemeClr val="accent2"/>
        </a:solidFill>
        <a:ln>
          <a:solidFill>
            <a:schemeClr val="accent2">
              <a:alpha val="99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1400" b="1"/>
            <a:t>BORRAR LISTADO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15"/>
  <sheetViews>
    <sheetView showGridLines="0" tabSelected="1" workbookViewId="0">
      <selection activeCell="G15" sqref="G15"/>
    </sheetView>
  </sheetViews>
  <sheetFormatPr baseColWidth="10" defaultColWidth="11.5703125" defaultRowHeight="15" x14ac:dyDescent="0.25"/>
  <cols>
    <col min="1" max="1" width="3.28515625" style="3" customWidth="1"/>
    <col min="2" max="2" width="30.7109375" style="3" customWidth="1"/>
    <col min="3" max="3" width="13.7109375" style="4" customWidth="1"/>
    <col min="4" max="4" width="3.28515625" style="3" customWidth="1"/>
    <col min="5" max="5" width="30.7109375" style="3" customWidth="1"/>
    <col min="6" max="6" width="13.7109375" style="4" customWidth="1"/>
    <col min="7" max="8" width="11.5703125" style="3"/>
    <col min="9" max="9" width="11.5703125" style="4"/>
    <col min="10" max="12" width="11.5703125" style="3" customWidth="1"/>
    <col min="13" max="16384" width="11.5703125" style="3"/>
  </cols>
  <sheetData>
    <row r="1" spans="1:13" x14ac:dyDescent="0.25">
      <c r="K1" s="4"/>
    </row>
    <row r="2" spans="1:13" ht="30" x14ac:dyDescent="0.25">
      <c r="A2" s="17" t="s">
        <v>6</v>
      </c>
      <c r="B2" s="5" t="s">
        <v>8</v>
      </c>
      <c r="C2" s="5" t="s">
        <v>0</v>
      </c>
      <c r="D2" s="17" t="s">
        <v>5</v>
      </c>
      <c r="E2" s="5" t="s">
        <v>8</v>
      </c>
      <c r="F2" s="5" t="s">
        <v>0</v>
      </c>
      <c r="G2" s="5" t="s">
        <v>2</v>
      </c>
      <c r="H2" s="5" t="s">
        <v>3</v>
      </c>
      <c r="I2" s="5" t="s">
        <v>4</v>
      </c>
      <c r="K2" s="5" t="s">
        <v>7</v>
      </c>
      <c r="L2" s="6"/>
      <c r="M2" s="6"/>
    </row>
    <row r="3" spans="1:13" x14ac:dyDescent="0.25">
      <c r="A3" s="18"/>
      <c r="B3" s="1" t="s">
        <v>12</v>
      </c>
      <c r="C3" s="2">
        <v>154</v>
      </c>
      <c r="D3" s="18"/>
      <c r="E3" s="1"/>
      <c r="F3" s="2"/>
      <c r="G3" s="7">
        <f>F3/$C$14</f>
        <v>0</v>
      </c>
      <c r="H3" s="8">
        <f>$G$3</f>
        <v>0</v>
      </c>
      <c r="I3" s="9" t="str">
        <f t="shared" ref="I3:I12" si="0">IF(H3&lt;=0.8,"VITAL","TRIVIAL")</f>
        <v>VITAL</v>
      </c>
      <c r="K3" s="8">
        <v>0.8</v>
      </c>
      <c r="L3" s="6"/>
      <c r="M3" s="6"/>
    </row>
    <row r="4" spans="1:13" x14ac:dyDescent="0.25">
      <c r="A4" s="18"/>
      <c r="B4" s="1" t="s">
        <v>13</v>
      </c>
      <c r="C4" s="2">
        <v>24</v>
      </c>
      <c r="D4" s="18"/>
      <c r="E4" s="1"/>
      <c r="F4" s="2"/>
      <c r="G4" s="7">
        <f>F4/$C$14</f>
        <v>0</v>
      </c>
      <c r="H4" s="8">
        <f>G4+H3</f>
        <v>0</v>
      </c>
      <c r="I4" s="9" t="str">
        <f t="shared" si="0"/>
        <v>VITAL</v>
      </c>
      <c r="K4" s="8">
        <v>0.8</v>
      </c>
      <c r="L4" s="6"/>
      <c r="M4" s="6"/>
    </row>
    <row r="5" spans="1:13" x14ac:dyDescent="0.25">
      <c r="A5" s="18"/>
      <c r="B5" s="1" t="s">
        <v>14</v>
      </c>
      <c r="C5" s="2">
        <v>11</v>
      </c>
      <c r="D5" s="18"/>
      <c r="E5" s="1"/>
      <c r="F5" s="2"/>
      <c r="G5" s="7">
        <f>F5/$C$14</f>
        <v>0</v>
      </c>
      <c r="H5" s="8">
        <f t="shared" ref="H5:H12" si="1">G5+H4</f>
        <v>0</v>
      </c>
      <c r="I5" s="9" t="str">
        <f t="shared" si="0"/>
        <v>VITAL</v>
      </c>
      <c r="K5" s="8">
        <v>0.8</v>
      </c>
      <c r="L5" s="6"/>
      <c r="M5" s="6"/>
    </row>
    <row r="6" spans="1:13" x14ac:dyDescent="0.25">
      <c r="A6" s="18"/>
      <c r="B6" s="1" t="s">
        <v>15</v>
      </c>
      <c r="C6" s="2">
        <v>8</v>
      </c>
      <c r="D6" s="18"/>
      <c r="E6" s="1"/>
      <c r="F6" s="2"/>
      <c r="G6" s="7">
        <f t="shared" ref="G6:G12" si="2">F6/$C$14</f>
        <v>0</v>
      </c>
      <c r="H6" s="8">
        <f t="shared" si="1"/>
        <v>0</v>
      </c>
      <c r="I6" s="9" t="str">
        <f t="shared" si="0"/>
        <v>VITAL</v>
      </c>
      <c r="K6" s="8">
        <v>0.8</v>
      </c>
      <c r="L6" s="6"/>
      <c r="M6" s="6"/>
    </row>
    <row r="7" spans="1:13" x14ac:dyDescent="0.25">
      <c r="A7" s="18"/>
      <c r="B7" s="1" t="s">
        <v>16</v>
      </c>
      <c r="C7" s="2">
        <v>3</v>
      </c>
      <c r="D7" s="18"/>
      <c r="E7" s="1"/>
      <c r="F7" s="2"/>
      <c r="G7" s="7">
        <f t="shared" si="2"/>
        <v>0</v>
      </c>
      <c r="H7" s="8">
        <f t="shared" si="1"/>
        <v>0</v>
      </c>
      <c r="I7" s="9" t="str">
        <f t="shared" si="0"/>
        <v>VITAL</v>
      </c>
      <c r="K7" s="8">
        <v>0.8</v>
      </c>
      <c r="L7" s="6"/>
      <c r="M7" s="6"/>
    </row>
    <row r="8" spans="1:13" x14ac:dyDescent="0.25">
      <c r="A8" s="18"/>
      <c r="B8" s="1" t="s">
        <v>17</v>
      </c>
      <c r="C8" s="2">
        <v>22</v>
      </c>
      <c r="D8" s="18"/>
      <c r="E8" s="1"/>
      <c r="F8" s="2"/>
      <c r="G8" s="7">
        <f t="shared" si="2"/>
        <v>0</v>
      </c>
      <c r="H8" s="8">
        <f t="shared" si="1"/>
        <v>0</v>
      </c>
      <c r="I8" s="9" t="str">
        <f t="shared" si="0"/>
        <v>VITAL</v>
      </c>
      <c r="K8" s="8">
        <v>0.8</v>
      </c>
      <c r="L8" s="6"/>
      <c r="M8" s="6"/>
    </row>
    <row r="9" spans="1:13" x14ac:dyDescent="0.25">
      <c r="A9" s="18"/>
      <c r="B9" s="1" t="s">
        <v>18</v>
      </c>
      <c r="C9" s="2">
        <v>6</v>
      </c>
      <c r="D9" s="18"/>
      <c r="E9" s="1"/>
      <c r="F9" s="2"/>
      <c r="G9" s="7">
        <f t="shared" si="2"/>
        <v>0</v>
      </c>
      <c r="H9" s="8">
        <f t="shared" si="1"/>
        <v>0</v>
      </c>
      <c r="I9" s="9" t="str">
        <f t="shared" si="0"/>
        <v>VITAL</v>
      </c>
      <c r="K9" s="8">
        <v>0.8</v>
      </c>
      <c r="L9" s="6"/>
      <c r="M9" s="6"/>
    </row>
    <row r="10" spans="1:13" x14ac:dyDescent="0.25">
      <c r="A10" s="18"/>
      <c r="B10" s="1" t="s">
        <v>9</v>
      </c>
      <c r="C10" s="2">
        <v>2</v>
      </c>
      <c r="D10" s="18"/>
      <c r="E10" s="1"/>
      <c r="F10" s="2"/>
      <c r="G10" s="7">
        <f t="shared" si="2"/>
        <v>0</v>
      </c>
      <c r="H10" s="8">
        <f t="shared" si="1"/>
        <v>0</v>
      </c>
      <c r="I10" s="9" t="str">
        <f t="shared" si="0"/>
        <v>VITAL</v>
      </c>
      <c r="K10" s="8">
        <v>0.8</v>
      </c>
      <c r="L10" s="6"/>
      <c r="M10" s="6"/>
    </row>
    <row r="11" spans="1:13" x14ac:dyDescent="0.25">
      <c r="A11" s="18"/>
      <c r="B11" s="1" t="s">
        <v>10</v>
      </c>
      <c r="C11" s="2">
        <v>110</v>
      </c>
      <c r="D11" s="18"/>
      <c r="E11" s="1"/>
      <c r="F11" s="2"/>
      <c r="G11" s="7">
        <f t="shared" si="2"/>
        <v>0</v>
      </c>
      <c r="H11" s="8">
        <f t="shared" si="1"/>
        <v>0</v>
      </c>
      <c r="I11" s="9" t="str">
        <f t="shared" si="0"/>
        <v>VITAL</v>
      </c>
      <c r="K11" s="8">
        <v>0.8</v>
      </c>
      <c r="L11" s="6"/>
      <c r="M11" s="6"/>
    </row>
    <row r="12" spans="1:13" x14ac:dyDescent="0.25">
      <c r="A12" s="19"/>
      <c r="B12" s="1" t="s">
        <v>11</v>
      </c>
      <c r="C12" s="2">
        <v>11</v>
      </c>
      <c r="D12" s="19"/>
      <c r="E12" s="1"/>
      <c r="F12" s="2"/>
      <c r="G12" s="7">
        <f t="shared" si="2"/>
        <v>0</v>
      </c>
      <c r="H12" s="8">
        <f t="shared" si="1"/>
        <v>0</v>
      </c>
      <c r="I12" s="9" t="str">
        <f t="shared" si="0"/>
        <v>VITAL</v>
      </c>
      <c r="K12" s="8">
        <v>0.8</v>
      </c>
      <c r="L12" s="6"/>
      <c r="M12" s="6"/>
    </row>
    <row r="14" spans="1:13" ht="18.75" x14ac:dyDescent="0.25">
      <c r="A14" s="10"/>
      <c r="B14" s="11" t="s">
        <v>1</v>
      </c>
      <c r="C14" s="12">
        <f>SUM(C3:C12)</f>
        <v>351</v>
      </c>
      <c r="D14" s="10"/>
      <c r="E14" s="13"/>
      <c r="F14" s="10"/>
      <c r="G14" s="14"/>
      <c r="H14" s="10"/>
      <c r="L14" s="15"/>
    </row>
    <row r="15" spans="1:13" x14ac:dyDescent="0.25">
      <c r="A15" s="10"/>
      <c r="B15" s="16"/>
      <c r="C15" s="10"/>
      <c r="D15" s="10"/>
      <c r="E15" s="16"/>
      <c r="F15" s="10"/>
      <c r="G15" s="10"/>
      <c r="H15" s="10"/>
    </row>
  </sheetData>
  <sheetProtection selectLockedCells="1"/>
  <sortState ref="E3:F12">
    <sortCondition descending="1" ref="F3:F12"/>
  </sortState>
  <mergeCells count="2">
    <mergeCell ref="D2:D12"/>
    <mergeCell ref="A2:A12"/>
  </mergeCells>
  <conditionalFormatting sqref="I3:I12">
    <cfRule type="containsText" dxfId="1" priority="1" operator="containsText" text="TRIVIAL">
      <formula>NOT(ISERROR(SEARCH("TRIVIAL",I3)))</formula>
    </cfRule>
    <cfRule type="containsText" dxfId="0" priority="2" operator="containsText" text="VITAL">
      <formula>NOT(ISERROR(SEARCH("VITAL",I3)))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Datos</vt:lpstr>
      <vt:lpstr>Gráfico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rsejzer</dc:creator>
  <cp:lastModifiedBy>Oscar Fattorini</cp:lastModifiedBy>
  <dcterms:created xsi:type="dcterms:W3CDTF">2016-06-21T16:56:23Z</dcterms:created>
  <dcterms:modified xsi:type="dcterms:W3CDTF">2017-10-08T17:15:32Z</dcterms:modified>
</cp:coreProperties>
</file>