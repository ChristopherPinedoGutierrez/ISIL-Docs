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6855" windowHeight="4620"/>
  </bookViews>
  <sheets>
    <sheet name="Datos" sheetId="1" r:id="rId1"/>
    <sheet name="Diagrama" sheetId="2" r:id="rId2"/>
  </sheets>
  <calcPr calcId="124519"/>
</workbook>
</file>

<file path=xl/calcChain.xml><?xml version="1.0" encoding="utf-8"?>
<calcChain xmlns="http://schemas.openxmlformats.org/spreadsheetml/2006/main">
  <c r="L29" i="1"/>
  <c r="J29"/>
  <c r="H29"/>
  <c r="F29"/>
  <c r="D29"/>
  <c r="B29"/>
  <c r="L30"/>
  <c r="J30"/>
  <c r="H30"/>
  <c r="F30"/>
  <c r="D30"/>
  <c r="B30"/>
  <c r="E41"/>
  <c r="A2" i="2" s="1"/>
  <c r="E40" i="1"/>
  <c r="B47" i="2"/>
  <c r="C47"/>
  <c r="D47"/>
  <c r="E47"/>
  <c r="F47"/>
  <c r="G47"/>
  <c r="B48"/>
  <c r="C48"/>
  <c r="D48"/>
  <c r="E48"/>
  <c r="F48"/>
  <c r="G48"/>
  <c r="B49"/>
  <c r="C49"/>
  <c r="D49"/>
  <c r="E49"/>
  <c r="F49"/>
  <c r="G49"/>
  <c r="B50"/>
  <c r="C50"/>
  <c r="D50"/>
  <c r="E50"/>
  <c r="F50"/>
  <c r="G50"/>
  <c r="G46"/>
  <c r="B46"/>
  <c r="F46"/>
  <c r="E46"/>
  <c r="D46"/>
  <c r="C46"/>
  <c r="M34" i="1"/>
  <c r="M33"/>
  <c r="M32"/>
  <c r="K34"/>
  <c r="K33"/>
  <c r="K32"/>
  <c r="I34"/>
  <c r="I33"/>
  <c r="I32"/>
  <c r="G34"/>
  <c r="G33"/>
  <c r="G32"/>
  <c r="E34"/>
  <c r="E33"/>
  <c r="E32"/>
  <c r="C34"/>
  <c r="C33"/>
  <c r="C32"/>
  <c r="L34"/>
  <c r="I27" i="2" s="1"/>
  <c r="L33" i="1"/>
  <c r="J24" i="2" s="1"/>
  <c r="L32" i="1"/>
  <c r="K21" i="2" s="1"/>
  <c r="J34" i="1"/>
  <c r="E27" i="2" s="1"/>
  <c r="J33" i="1"/>
  <c r="F24" i="2" s="1"/>
  <c r="J32" i="1"/>
  <c r="G21" i="2" s="1"/>
  <c r="H34" i="1"/>
  <c r="A27" i="2" s="1"/>
  <c r="H33" i="1"/>
  <c r="B24" i="2" s="1"/>
  <c r="H32" i="1"/>
  <c r="C21" i="2" s="1"/>
  <c r="F34" i="1"/>
  <c r="K16" i="2" s="1"/>
  <c r="F33" i="1"/>
  <c r="J13" i="2" s="1"/>
  <c r="F32" i="1"/>
  <c r="I10" i="2" s="1"/>
  <c r="D34" i="1"/>
  <c r="G16" i="2" s="1"/>
  <c r="D33" i="1"/>
  <c r="F13" i="2" s="1"/>
  <c r="D32" i="1"/>
  <c r="E10" i="2" s="1"/>
  <c r="B34" i="1"/>
  <c r="C16" i="2" s="1"/>
  <c r="B33" i="1"/>
  <c r="B13" i="2" s="1"/>
  <c r="B32" i="1"/>
  <c r="A10" i="2" s="1"/>
  <c r="H45" i="1"/>
  <c r="A1" i="2" s="1"/>
  <c r="A3"/>
  <c r="P14"/>
  <c r="B41" l="1"/>
  <c r="B40"/>
  <c r="B39"/>
  <c r="B38"/>
  <c r="B37"/>
  <c r="B36"/>
</calcChain>
</file>

<file path=xl/sharedStrings.xml><?xml version="1.0" encoding="utf-8"?>
<sst xmlns="http://schemas.openxmlformats.org/spreadsheetml/2006/main" count="148" uniqueCount="57">
  <si>
    <t>Entorno</t>
  </si>
  <si>
    <t>Material</t>
  </si>
  <si>
    <t>Método</t>
  </si>
  <si>
    <t>Medida</t>
  </si>
  <si>
    <t>Hombre</t>
  </si>
  <si>
    <t>Máquina</t>
  </si>
  <si>
    <t>Problema a analizar</t>
  </si>
  <si>
    <t>Sector</t>
  </si>
  <si>
    <t>Integrantes</t>
  </si>
  <si>
    <t>Organización</t>
  </si>
  <si>
    <t>Causas secundarias</t>
  </si>
  <si>
    <t>Causa 1</t>
  </si>
  <si>
    <t>Causa 2</t>
  </si>
  <si>
    <t>Causa 3</t>
  </si>
  <si>
    <t>Causa 4</t>
  </si>
  <si>
    <t>Causa 5</t>
  </si>
  <si>
    <t>Orden</t>
  </si>
  <si>
    <t>N</t>
  </si>
  <si>
    <t>Producción</t>
  </si>
  <si>
    <t>Ventas</t>
  </si>
  <si>
    <t>Finanzas</t>
  </si>
  <si>
    <t>Compras</t>
  </si>
  <si>
    <t>Logística</t>
  </si>
  <si>
    <t>Ingeniería</t>
  </si>
  <si>
    <t>Desarrollo</t>
  </si>
  <si>
    <t>Fraccionamiento</t>
  </si>
  <si>
    <t>Recursos Humanos</t>
  </si>
  <si>
    <t>Seguridad e Higiene</t>
  </si>
  <si>
    <t>Medio Ambiente</t>
  </si>
  <si>
    <t>Calidad</t>
  </si>
  <si>
    <t>Dirección</t>
  </si>
  <si>
    <t>Laboratorio</t>
  </si>
  <si>
    <t>Marketing</t>
  </si>
  <si>
    <t>Toda la Organización</t>
  </si>
  <si>
    <t>Otro…</t>
  </si>
  <si>
    <t>Sector Real</t>
  </si>
  <si>
    <t>Titulo</t>
  </si>
  <si>
    <t>IT</t>
  </si>
  <si>
    <t>Almacén</t>
  </si>
  <si>
    <t>Denominación</t>
  </si>
  <si>
    <t>Diagrama de Ishikawa</t>
  </si>
  <si>
    <t>Diagrama de Espina de Pescado</t>
  </si>
  <si>
    <t>Diagrama Causa-Efecto</t>
  </si>
  <si>
    <t>Diagrama de Grandal</t>
  </si>
  <si>
    <t>Diagrama Causal</t>
  </si>
  <si>
    <t>A1-A3</t>
  </si>
  <si>
    <t>A4-A6</t>
  </si>
  <si>
    <t>B1-B3</t>
  </si>
  <si>
    <t>B4-B6</t>
  </si>
  <si>
    <t>B7-B9</t>
  </si>
  <si>
    <t>A7-A9</t>
  </si>
  <si>
    <t>©Calidad Total - 2015</t>
  </si>
  <si>
    <t>EasyKawa v1.0</t>
  </si>
  <si>
    <t>Armado de Titulo de Diagrama</t>
  </si>
  <si>
    <t>Sectores</t>
  </si>
  <si>
    <t>Denominacion</t>
  </si>
  <si>
    <r>
      <t xml:space="preserve">Easykawa v1.1 - </t>
    </r>
    <r>
      <rPr>
        <i/>
        <sz val="14"/>
        <color theme="0"/>
        <rFont val="Arial Black"/>
        <family val="2"/>
      </rPr>
      <t>Calidad Total</t>
    </r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</si>
</sst>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Arial Black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1"/>
      <name val="Arial Black"/>
      <family val="2"/>
    </font>
    <font>
      <i/>
      <sz val="14"/>
      <color theme="0"/>
      <name val="Arial Black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45">
        <stop position="0">
          <color theme="1" tint="0.34900967436750391"/>
        </stop>
        <stop position="1">
          <color theme="0" tint="-0.25098422193060094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Fill="1"/>
    <xf numFmtId="0" fontId="6" fillId="0" borderId="0" xfId="0" applyFont="1" applyFill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9" fillId="2" borderId="8" xfId="0" applyFont="1" applyFill="1" applyBorder="1" applyAlignment="1" applyProtection="1">
      <alignment horizontal="center" vertical="center" wrapText="1"/>
      <protection locked="0"/>
    </xf>
    <xf numFmtId="0" fontId="9" fillId="2" borderId="9" xfId="0" applyFont="1" applyFill="1" applyBorder="1" applyAlignment="1" applyProtection="1">
      <alignment horizontal="center" vertical="center" wrapText="1"/>
      <protection locked="0"/>
    </xf>
    <xf numFmtId="0" fontId="7" fillId="2" borderId="8" xfId="0" applyFont="1" applyFill="1" applyBorder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Protection="1"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0" fontId="8" fillId="12" borderId="6" xfId="0" applyFont="1" applyFill="1" applyBorder="1" applyAlignment="1" applyProtection="1">
      <alignment horizontal="center"/>
      <protection locked="0"/>
    </xf>
    <xf numFmtId="0" fontId="7" fillId="12" borderId="7" xfId="0" applyFont="1" applyFill="1" applyBorder="1" applyAlignment="1" applyProtection="1">
      <alignment horizontal="center"/>
      <protection locked="0"/>
    </xf>
    <xf numFmtId="49" fontId="9" fillId="12" borderId="8" xfId="0" applyNumberFormat="1" applyFont="1" applyFill="1" applyBorder="1" applyAlignment="1" applyProtection="1">
      <alignment horizontal="center" vertical="center" wrapText="1"/>
      <protection locked="0"/>
    </xf>
    <xf numFmtId="0" fontId="7" fillId="12" borderId="5" xfId="0" applyFont="1" applyFill="1" applyBorder="1" applyAlignment="1" applyProtection="1">
      <alignment horizontal="center" vertical="center" wrapText="1"/>
      <protection locked="0"/>
    </xf>
    <xf numFmtId="49" fontId="7" fillId="12" borderId="8" xfId="0" applyNumberFormat="1" applyFont="1" applyFill="1" applyBorder="1" applyAlignment="1" applyProtection="1">
      <alignment horizontal="center" vertical="center" wrapText="1"/>
      <protection locked="0"/>
    </xf>
    <xf numFmtId="0" fontId="0" fillId="13" borderId="0" xfId="0" applyFill="1"/>
    <xf numFmtId="0" fontId="0" fillId="13" borderId="0" xfId="0" applyFill="1" applyProtection="1">
      <protection locked="0"/>
    </xf>
    <xf numFmtId="0" fontId="0" fillId="9" borderId="0" xfId="0" applyNumberFormat="1" applyFill="1" applyProtection="1">
      <protection locked="0"/>
    </xf>
    <xf numFmtId="0" fontId="0" fillId="13" borderId="0" xfId="0" applyFill="1" applyProtection="1"/>
    <xf numFmtId="0" fontId="5" fillId="13" borderId="0" xfId="0" applyFont="1" applyFill="1" applyAlignment="1" applyProtection="1">
      <alignment horizontal="right"/>
    </xf>
    <xf numFmtId="0" fontId="0" fillId="0" borderId="0" xfId="0" applyProtection="1"/>
    <xf numFmtId="0" fontId="1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Border="1" applyProtection="1"/>
    <xf numFmtId="0" fontId="2" fillId="0" borderId="0" xfId="0" applyFont="1" applyProtection="1"/>
    <xf numFmtId="0" fontId="0" fillId="0" borderId="0" xfId="0" applyAlignment="1" applyProtection="1">
      <alignment horizontal="center"/>
    </xf>
    <xf numFmtId="0" fontId="2" fillId="0" borderId="0" xfId="0" applyNumberFormat="1" applyFont="1" applyAlignment="1" applyProtection="1">
      <alignment vertical="center" wrapText="1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1" fillId="0" borderId="0" xfId="0" applyFont="1" applyProtection="1"/>
    <xf numFmtId="0" fontId="1" fillId="4" borderId="0" xfId="0" applyFont="1" applyFill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14" fillId="8" borderId="5" xfId="0" applyFont="1" applyFill="1" applyBorder="1" applyAlignment="1" applyProtection="1">
      <alignment horizontal="center" vertical="center" wrapText="1"/>
      <protection locked="0"/>
    </xf>
    <xf numFmtId="0" fontId="14" fillId="8" borderId="10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left" vertical="center"/>
    </xf>
    <xf numFmtId="0" fontId="10" fillId="8" borderId="2" xfId="0" applyFont="1" applyFill="1" applyBorder="1" applyAlignment="1" applyProtection="1">
      <alignment horizontal="center" vertical="center"/>
      <protection locked="0"/>
    </xf>
    <xf numFmtId="0" fontId="10" fillId="8" borderId="4" xfId="0" applyFont="1" applyFill="1" applyBorder="1" applyAlignment="1" applyProtection="1">
      <alignment horizontal="center" vertical="center"/>
      <protection locked="0"/>
    </xf>
    <xf numFmtId="0" fontId="10" fillId="8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top" wrapText="1"/>
    </xf>
    <xf numFmtId="14" fontId="0" fillId="0" borderId="0" xfId="0" applyNumberFormat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2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 vertical="center"/>
    </xf>
    <xf numFmtId="0" fontId="12" fillId="2" borderId="0" xfId="0" applyFont="1" applyFill="1" applyAlignment="1" applyProtection="1">
      <alignment horizontal="right"/>
    </xf>
    <xf numFmtId="0" fontId="13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44824</xdr:rowOff>
    </xdr:from>
    <xdr:to>
      <xdr:col>12</xdr:col>
      <xdr:colOff>56029</xdr:colOff>
      <xdr:row>4</xdr:row>
      <xdr:rowOff>560294</xdr:rowOff>
    </xdr:to>
    <xdr:sp macro="[0]!Graficar" textlink="">
      <xdr:nvSpPr>
        <xdr:cNvPr id="9" name="8 Bisel"/>
        <xdr:cNvSpPr/>
      </xdr:nvSpPr>
      <xdr:spPr>
        <a:xfrm>
          <a:off x="9726706" y="806824"/>
          <a:ext cx="1501588" cy="1120588"/>
        </a:xfrm>
        <a:prstGeom prst="bevel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1400" b="1"/>
            <a:t>Realizar</a:t>
          </a:r>
          <a:r>
            <a:rPr lang="es-AR" sz="1400" b="1" baseline="0"/>
            <a:t> Diagrama</a:t>
          </a:r>
          <a:endParaRPr lang="es-AR" sz="1400" b="1"/>
        </a:p>
      </xdr:txBody>
    </xdr:sp>
    <xdr:clientData fLocksWithSheet="0"/>
  </xdr:twoCellAnchor>
  <xdr:twoCellAnchor editAs="oneCell">
    <xdr:from>
      <xdr:col>11</xdr:col>
      <xdr:colOff>156883</xdr:colOff>
      <xdr:row>0</xdr:row>
      <xdr:rowOff>89648</xdr:rowOff>
    </xdr:from>
    <xdr:to>
      <xdr:col>11</xdr:col>
      <xdr:colOff>1109383</xdr:colOff>
      <xdr:row>1</xdr:row>
      <xdr:rowOff>184898</xdr:rowOff>
    </xdr:to>
    <xdr:pic>
      <xdr:nvPicPr>
        <xdr:cNvPr id="10" name="9 Imagen" descr="logoCT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0824" y="89648"/>
          <a:ext cx="95250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40</xdr:row>
      <xdr:rowOff>161925</xdr:rowOff>
    </xdr:from>
    <xdr:to>
      <xdr:col>16</xdr:col>
      <xdr:colOff>657225</xdr:colOff>
      <xdr:row>42</xdr:row>
      <xdr:rowOff>109538</xdr:rowOff>
    </xdr:to>
    <xdr:pic>
      <xdr:nvPicPr>
        <xdr:cNvPr id="31" name="30 Imagen" descr="logoCT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1800" y="8362950"/>
          <a:ext cx="657225" cy="328613"/>
        </a:xfrm>
        <a:prstGeom prst="rect">
          <a:avLst/>
        </a:prstGeom>
      </xdr:spPr>
    </xdr:pic>
    <xdr:clientData/>
  </xdr:twoCellAnchor>
  <xdr:twoCellAnchor>
    <xdr:from>
      <xdr:col>2</xdr:col>
      <xdr:colOff>68580</xdr:colOff>
      <xdr:row>27</xdr:row>
      <xdr:rowOff>175260</xdr:rowOff>
    </xdr:from>
    <xdr:to>
      <xdr:col>3</xdr:col>
      <xdr:colOff>22860</xdr:colOff>
      <xdr:row>27</xdr:row>
      <xdr:rowOff>176848</xdr:rowOff>
    </xdr:to>
    <xdr:cxnSp macro="">
      <xdr:nvCxnSpPr>
        <xdr:cNvPr id="116" name="FlechaB3"/>
        <xdr:cNvCxnSpPr/>
      </xdr:nvCxnSpPr>
      <xdr:spPr>
        <a:xfrm>
          <a:off x="1333500" y="639318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37204</xdr:colOff>
      <xdr:row>24</xdr:row>
      <xdr:rowOff>8966</xdr:rowOff>
    </xdr:from>
    <xdr:to>
      <xdr:col>3</xdr:col>
      <xdr:colOff>691065</xdr:colOff>
      <xdr:row>24</xdr:row>
      <xdr:rowOff>10264</xdr:rowOff>
    </xdr:to>
    <xdr:cxnSp macro="">
      <xdr:nvCxnSpPr>
        <xdr:cNvPr id="38" name="FlechaB2"/>
        <xdr:cNvCxnSpPr/>
      </xdr:nvCxnSpPr>
      <xdr:spPr>
        <a:xfrm flipV="1">
          <a:off x="2086984" y="5655386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18</xdr:row>
      <xdr:rowOff>161925</xdr:rowOff>
    </xdr:from>
    <xdr:to>
      <xdr:col>13</xdr:col>
      <xdr:colOff>542925</xdr:colOff>
      <xdr:row>18</xdr:row>
      <xdr:rowOff>163513</xdr:rowOff>
    </xdr:to>
    <xdr:cxnSp macro="">
      <xdr:nvCxnSpPr>
        <xdr:cNvPr id="3" name="FlechaPrincipal"/>
        <xdr:cNvCxnSpPr/>
      </xdr:nvCxnSpPr>
      <xdr:spPr>
        <a:xfrm>
          <a:off x="3048000" y="3019425"/>
          <a:ext cx="6638925" cy="1588"/>
        </a:xfrm>
        <a:prstGeom prst="line">
          <a:avLst/>
        </a:prstGeom>
        <a:ln w="57150">
          <a:solidFill>
            <a:schemeClr val="tx1"/>
          </a:solidFill>
          <a:headEnd type="oval" w="sm" len="med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571500</xdr:colOff>
      <xdr:row>8</xdr:row>
      <xdr:rowOff>161925</xdr:rowOff>
    </xdr:from>
    <xdr:to>
      <xdr:col>5</xdr:col>
      <xdr:colOff>0</xdr:colOff>
      <xdr:row>18</xdr:row>
      <xdr:rowOff>161925</xdr:rowOff>
    </xdr:to>
    <xdr:cxnSp macro="">
      <xdr:nvCxnSpPr>
        <xdr:cNvPr id="22" name="FlechaD1"/>
        <xdr:cNvCxnSpPr/>
      </xdr:nvCxnSpPr>
      <xdr:spPr>
        <a:xfrm rot="16200000" flipH="1">
          <a:off x="2857500" y="1304925"/>
          <a:ext cx="1714500" cy="1714500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571500</xdr:colOff>
      <xdr:row>8</xdr:row>
      <xdr:rowOff>161925</xdr:rowOff>
    </xdr:from>
    <xdr:to>
      <xdr:col>9</xdr:col>
      <xdr:colOff>0</xdr:colOff>
      <xdr:row>18</xdr:row>
      <xdr:rowOff>161925</xdr:rowOff>
    </xdr:to>
    <xdr:cxnSp macro="">
      <xdr:nvCxnSpPr>
        <xdr:cNvPr id="54" name="53 Conector recto"/>
        <xdr:cNvCxnSpPr/>
      </xdr:nvCxnSpPr>
      <xdr:spPr>
        <a:xfrm rot="16200000" flipH="1">
          <a:off x="2071687" y="1376363"/>
          <a:ext cx="1762125" cy="1714500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571500</xdr:colOff>
      <xdr:row>8</xdr:row>
      <xdr:rowOff>161925</xdr:rowOff>
    </xdr:from>
    <xdr:to>
      <xdr:col>9</xdr:col>
      <xdr:colOff>0</xdr:colOff>
      <xdr:row>18</xdr:row>
      <xdr:rowOff>161925</xdr:rowOff>
    </xdr:to>
    <xdr:cxnSp macro="">
      <xdr:nvCxnSpPr>
        <xdr:cNvPr id="57" name="FlechaD2"/>
        <xdr:cNvCxnSpPr/>
      </xdr:nvCxnSpPr>
      <xdr:spPr>
        <a:xfrm rot="16200000" flipH="1">
          <a:off x="2071687" y="1376363"/>
          <a:ext cx="1762125" cy="1714500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571500</xdr:colOff>
      <xdr:row>8</xdr:row>
      <xdr:rowOff>161925</xdr:rowOff>
    </xdr:from>
    <xdr:to>
      <xdr:col>13</xdr:col>
      <xdr:colOff>0</xdr:colOff>
      <xdr:row>18</xdr:row>
      <xdr:rowOff>161925</xdr:rowOff>
    </xdr:to>
    <xdr:cxnSp macro="">
      <xdr:nvCxnSpPr>
        <xdr:cNvPr id="66" name="65 Conector recto"/>
        <xdr:cNvCxnSpPr/>
      </xdr:nvCxnSpPr>
      <xdr:spPr>
        <a:xfrm rot="16200000" flipH="1">
          <a:off x="2071687" y="1376363"/>
          <a:ext cx="1762125" cy="1714500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571500</xdr:colOff>
      <xdr:row>8</xdr:row>
      <xdr:rowOff>161925</xdr:rowOff>
    </xdr:from>
    <xdr:to>
      <xdr:col>13</xdr:col>
      <xdr:colOff>0</xdr:colOff>
      <xdr:row>18</xdr:row>
      <xdr:rowOff>161925</xdr:rowOff>
    </xdr:to>
    <xdr:cxnSp macro="">
      <xdr:nvCxnSpPr>
        <xdr:cNvPr id="69" name="FlechaD3"/>
        <xdr:cNvCxnSpPr/>
      </xdr:nvCxnSpPr>
      <xdr:spPr>
        <a:xfrm rot="16200000" flipH="1">
          <a:off x="2071687" y="1376363"/>
          <a:ext cx="1762125" cy="1714500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628650</xdr:colOff>
      <xdr:row>18</xdr:row>
      <xdr:rowOff>158485</xdr:rowOff>
    </xdr:from>
    <xdr:to>
      <xdr:col>5</xdr:col>
      <xdr:colOff>3</xdr:colOff>
      <xdr:row>29</xdr:row>
      <xdr:rowOff>61649</xdr:rowOff>
    </xdr:to>
    <xdr:cxnSp macro="">
      <xdr:nvCxnSpPr>
        <xdr:cNvPr id="87" name="FlechaD4"/>
        <xdr:cNvCxnSpPr/>
      </xdr:nvCxnSpPr>
      <xdr:spPr>
        <a:xfrm rot="5400000" flipH="1" flipV="1">
          <a:off x="2129632" y="3134253"/>
          <a:ext cx="1703389" cy="1657353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628650</xdr:colOff>
      <xdr:row>18</xdr:row>
      <xdr:rowOff>171450</xdr:rowOff>
    </xdr:from>
    <xdr:to>
      <xdr:col>9</xdr:col>
      <xdr:colOff>3</xdr:colOff>
      <xdr:row>29</xdr:row>
      <xdr:rowOff>74614</xdr:rowOff>
    </xdr:to>
    <xdr:cxnSp macro="">
      <xdr:nvCxnSpPr>
        <xdr:cNvPr id="91" name="FlechaD5"/>
        <xdr:cNvCxnSpPr/>
      </xdr:nvCxnSpPr>
      <xdr:spPr>
        <a:xfrm rot="5400000" flipH="1" flipV="1">
          <a:off x="4939507" y="3147218"/>
          <a:ext cx="1703389" cy="1657353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619125</xdr:colOff>
      <xdr:row>18</xdr:row>
      <xdr:rowOff>161925</xdr:rowOff>
    </xdr:from>
    <xdr:to>
      <xdr:col>12</xdr:col>
      <xdr:colOff>752478</xdr:colOff>
      <xdr:row>29</xdr:row>
      <xdr:rowOff>65089</xdr:rowOff>
    </xdr:to>
    <xdr:cxnSp macro="">
      <xdr:nvCxnSpPr>
        <xdr:cNvPr id="92" name="FlechaD6"/>
        <xdr:cNvCxnSpPr/>
      </xdr:nvCxnSpPr>
      <xdr:spPr>
        <a:xfrm rot="5400000" flipH="1" flipV="1">
          <a:off x="7739857" y="3137693"/>
          <a:ext cx="1703389" cy="1657353"/>
        </a:xfrm>
        <a:prstGeom prst="line">
          <a:avLst/>
        </a:prstGeom>
        <a:ln w="41275">
          <a:solidFill>
            <a:schemeClr val="tx1"/>
          </a:solidFill>
          <a:tailEnd type="arrow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18490</xdr:colOff>
      <xdr:row>13</xdr:row>
      <xdr:rowOff>170152</xdr:rowOff>
    </xdr:from>
    <xdr:to>
      <xdr:col>3</xdr:col>
      <xdr:colOff>672351</xdr:colOff>
      <xdr:row>13</xdr:row>
      <xdr:rowOff>171450</xdr:rowOff>
    </xdr:to>
    <xdr:cxnSp macro="">
      <xdr:nvCxnSpPr>
        <xdr:cNvPr id="94" name="FlechaA2"/>
        <xdr:cNvCxnSpPr/>
      </xdr:nvCxnSpPr>
      <xdr:spPr>
        <a:xfrm flipV="1">
          <a:off x="2134161" y="3702246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18491</xdr:colOff>
      <xdr:row>13</xdr:row>
      <xdr:rowOff>188081</xdr:rowOff>
    </xdr:from>
    <xdr:to>
      <xdr:col>7</xdr:col>
      <xdr:colOff>672352</xdr:colOff>
      <xdr:row>14</xdr:row>
      <xdr:rowOff>1120</xdr:rowOff>
    </xdr:to>
    <xdr:cxnSp macro="">
      <xdr:nvCxnSpPr>
        <xdr:cNvPr id="35" name="FlechaA5"/>
        <xdr:cNvCxnSpPr/>
      </xdr:nvCxnSpPr>
      <xdr:spPr>
        <a:xfrm flipV="1">
          <a:off x="5038726" y="3720175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26894</xdr:colOff>
      <xdr:row>13</xdr:row>
      <xdr:rowOff>179294</xdr:rowOff>
    </xdr:from>
    <xdr:to>
      <xdr:col>11</xdr:col>
      <xdr:colOff>680755</xdr:colOff>
      <xdr:row>13</xdr:row>
      <xdr:rowOff>180592</xdr:rowOff>
    </xdr:to>
    <xdr:cxnSp macro="">
      <xdr:nvCxnSpPr>
        <xdr:cNvPr id="36" name="FlechaA8"/>
        <xdr:cNvCxnSpPr/>
      </xdr:nvCxnSpPr>
      <xdr:spPr>
        <a:xfrm flipV="1">
          <a:off x="7951694" y="3711388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4035</xdr:colOff>
      <xdr:row>24</xdr:row>
      <xdr:rowOff>11649</xdr:rowOff>
    </xdr:from>
    <xdr:to>
      <xdr:col>11</xdr:col>
      <xdr:colOff>657896</xdr:colOff>
      <xdr:row>24</xdr:row>
      <xdr:rowOff>12947</xdr:rowOff>
    </xdr:to>
    <xdr:cxnSp macro="">
      <xdr:nvCxnSpPr>
        <xdr:cNvPr id="39" name="FlechaB8"/>
        <xdr:cNvCxnSpPr/>
      </xdr:nvCxnSpPr>
      <xdr:spPr>
        <a:xfrm flipV="1">
          <a:off x="7890735" y="5658069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27479</xdr:colOff>
      <xdr:row>17</xdr:row>
      <xdr:rowOff>7</xdr:rowOff>
    </xdr:from>
    <xdr:to>
      <xdr:col>4</xdr:col>
      <xdr:colOff>412399</xdr:colOff>
      <xdr:row>17</xdr:row>
      <xdr:rowOff>771</xdr:rowOff>
    </xdr:to>
    <xdr:cxnSp macro="">
      <xdr:nvCxnSpPr>
        <xdr:cNvPr id="40" name="FlechaA3"/>
        <xdr:cNvCxnSpPr/>
      </xdr:nvCxnSpPr>
      <xdr:spPr>
        <a:xfrm>
          <a:off x="2932044" y="4285136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36445</xdr:colOff>
      <xdr:row>17</xdr:row>
      <xdr:rowOff>7</xdr:rowOff>
    </xdr:from>
    <xdr:to>
      <xdr:col>8</xdr:col>
      <xdr:colOff>421365</xdr:colOff>
      <xdr:row>17</xdr:row>
      <xdr:rowOff>771</xdr:rowOff>
    </xdr:to>
    <xdr:cxnSp macro="">
      <xdr:nvCxnSpPr>
        <xdr:cNvPr id="47" name="FlechaA6"/>
        <xdr:cNvCxnSpPr/>
      </xdr:nvCxnSpPr>
      <xdr:spPr>
        <a:xfrm>
          <a:off x="5845574" y="4285136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45410</xdr:colOff>
      <xdr:row>17</xdr:row>
      <xdr:rowOff>17936</xdr:rowOff>
    </xdr:from>
    <xdr:to>
      <xdr:col>12</xdr:col>
      <xdr:colOff>430330</xdr:colOff>
      <xdr:row>17</xdr:row>
      <xdr:rowOff>18700</xdr:rowOff>
    </xdr:to>
    <xdr:cxnSp macro="">
      <xdr:nvCxnSpPr>
        <xdr:cNvPr id="48" name="FlechaA9"/>
        <xdr:cNvCxnSpPr/>
      </xdr:nvCxnSpPr>
      <xdr:spPr>
        <a:xfrm>
          <a:off x="8759104" y="4303065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20</xdr:row>
      <xdr:rowOff>179294</xdr:rowOff>
    </xdr:from>
    <xdr:to>
      <xdr:col>12</xdr:col>
      <xdr:colOff>384920</xdr:colOff>
      <xdr:row>20</xdr:row>
      <xdr:rowOff>180058</xdr:rowOff>
    </xdr:to>
    <xdr:cxnSp macro="">
      <xdr:nvCxnSpPr>
        <xdr:cNvPr id="49" name="FlechaB7"/>
        <xdr:cNvCxnSpPr/>
      </xdr:nvCxnSpPr>
      <xdr:spPr>
        <a:xfrm>
          <a:off x="8713694" y="5029200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35859</xdr:colOff>
      <xdr:row>20</xdr:row>
      <xdr:rowOff>179294</xdr:rowOff>
    </xdr:from>
    <xdr:to>
      <xdr:col>8</xdr:col>
      <xdr:colOff>420779</xdr:colOff>
      <xdr:row>20</xdr:row>
      <xdr:rowOff>180058</xdr:rowOff>
    </xdr:to>
    <xdr:cxnSp macro="">
      <xdr:nvCxnSpPr>
        <xdr:cNvPr id="50" name="FlechaB4"/>
        <xdr:cNvCxnSpPr/>
      </xdr:nvCxnSpPr>
      <xdr:spPr>
        <a:xfrm>
          <a:off x="5844988" y="5029200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</xdr:colOff>
      <xdr:row>9</xdr:row>
      <xdr:rowOff>167640</xdr:rowOff>
    </xdr:from>
    <xdr:to>
      <xdr:col>2</xdr:col>
      <xdr:colOff>762000</xdr:colOff>
      <xdr:row>9</xdr:row>
      <xdr:rowOff>169228</xdr:rowOff>
    </xdr:to>
    <xdr:cxnSp macro="[0]!CambiarColorFlechas">
      <xdr:nvCxnSpPr>
        <xdr:cNvPr id="113" name="FlechaA1"/>
        <xdr:cNvCxnSpPr/>
      </xdr:nvCxnSpPr>
      <xdr:spPr>
        <a:xfrm>
          <a:off x="1348740" y="297942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</xdr:colOff>
      <xdr:row>10</xdr:row>
      <xdr:rowOff>7620</xdr:rowOff>
    </xdr:from>
    <xdr:to>
      <xdr:col>6</xdr:col>
      <xdr:colOff>769620</xdr:colOff>
      <xdr:row>10</xdr:row>
      <xdr:rowOff>9208</xdr:rowOff>
    </xdr:to>
    <xdr:cxnSp macro="">
      <xdr:nvCxnSpPr>
        <xdr:cNvPr id="114" name="FlechaA4"/>
        <xdr:cNvCxnSpPr/>
      </xdr:nvCxnSpPr>
      <xdr:spPr>
        <a:xfrm>
          <a:off x="4267200" y="300228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</xdr:colOff>
      <xdr:row>10</xdr:row>
      <xdr:rowOff>7620</xdr:rowOff>
    </xdr:from>
    <xdr:to>
      <xdr:col>10</xdr:col>
      <xdr:colOff>769620</xdr:colOff>
      <xdr:row>10</xdr:row>
      <xdr:rowOff>9208</xdr:rowOff>
    </xdr:to>
    <xdr:cxnSp macro="">
      <xdr:nvCxnSpPr>
        <xdr:cNvPr id="115" name="FlechaA7"/>
        <xdr:cNvCxnSpPr/>
      </xdr:nvCxnSpPr>
      <xdr:spPr>
        <a:xfrm>
          <a:off x="7185660" y="300228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28</xdr:row>
      <xdr:rowOff>0</xdr:rowOff>
    </xdr:from>
    <xdr:to>
      <xdr:col>7</xdr:col>
      <xdr:colOff>15240</xdr:colOff>
      <xdr:row>28</xdr:row>
      <xdr:rowOff>1588</xdr:rowOff>
    </xdr:to>
    <xdr:cxnSp macro="">
      <xdr:nvCxnSpPr>
        <xdr:cNvPr id="117" name="FlechaB6"/>
        <xdr:cNvCxnSpPr/>
      </xdr:nvCxnSpPr>
      <xdr:spPr>
        <a:xfrm>
          <a:off x="4244340" y="640080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28</xdr:row>
      <xdr:rowOff>0</xdr:rowOff>
    </xdr:from>
    <xdr:to>
      <xdr:col>10</xdr:col>
      <xdr:colOff>777240</xdr:colOff>
      <xdr:row>28</xdr:row>
      <xdr:rowOff>1588</xdr:rowOff>
    </xdr:to>
    <xdr:cxnSp macro="">
      <xdr:nvCxnSpPr>
        <xdr:cNvPr id="119" name="FlechaB9"/>
        <xdr:cNvCxnSpPr/>
      </xdr:nvCxnSpPr>
      <xdr:spPr>
        <a:xfrm>
          <a:off x="7132320" y="6400800"/>
          <a:ext cx="739140" cy="1588"/>
        </a:xfrm>
        <a:prstGeom prst="straightConnector1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49755</xdr:colOff>
      <xdr:row>24</xdr:row>
      <xdr:rowOff>3587</xdr:rowOff>
    </xdr:from>
    <xdr:to>
      <xdr:col>7</xdr:col>
      <xdr:colOff>703616</xdr:colOff>
      <xdr:row>24</xdr:row>
      <xdr:rowOff>4885</xdr:rowOff>
    </xdr:to>
    <xdr:cxnSp macro="">
      <xdr:nvCxnSpPr>
        <xdr:cNvPr id="120" name="FlechaB5"/>
        <xdr:cNvCxnSpPr/>
      </xdr:nvCxnSpPr>
      <xdr:spPr>
        <a:xfrm flipV="1">
          <a:off x="5017995" y="5650007"/>
          <a:ext cx="653861" cy="1298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10</xdr:row>
      <xdr:rowOff>85725</xdr:rowOff>
    </xdr:from>
    <xdr:to>
      <xdr:col>17</xdr:col>
      <xdr:colOff>76200</xdr:colOff>
      <xdr:row>29</xdr:row>
      <xdr:rowOff>0</xdr:rowOff>
    </xdr:to>
    <xdr:sp macro="" textlink="">
      <xdr:nvSpPr>
        <xdr:cNvPr id="30" name="29 Elipse"/>
        <xdr:cNvSpPr/>
      </xdr:nvSpPr>
      <xdr:spPr>
        <a:xfrm>
          <a:off x="9753600" y="2438400"/>
          <a:ext cx="1581150" cy="3524250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AR" sz="1100">
            <a:noFill/>
          </a:endParaRPr>
        </a:p>
      </xdr:txBody>
    </xdr:sp>
    <xdr:clientData fLocksWithSheet="0"/>
  </xdr:twoCellAnchor>
  <xdr:twoCellAnchor>
    <xdr:from>
      <xdr:col>4</xdr:col>
      <xdr:colOff>0</xdr:colOff>
      <xdr:row>20</xdr:row>
      <xdr:rowOff>179294</xdr:rowOff>
    </xdr:from>
    <xdr:to>
      <xdr:col>4</xdr:col>
      <xdr:colOff>384920</xdr:colOff>
      <xdr:row>20</xdr:row>
      <xdr:rowOff>180058</xdr:rowOff>
    </xdr:to>
    <xdr:cxnSp macro="">
      <xdr:nvCxnSpPr>
        <xdr:cNvPr id="51" name="FlechaB1"/>
        <xdr:cNvCxnSpPr/>
      </xdr:nvCxnSpPr>
      <xdr:spPr>
        <a:xfrm>
          <a:off x="2904565" y="5029200"/>
          <a:ext cx="384920" cy="764"/>
        </a:xfrm>
        <a:prstGeom prst="line">
          <a:avLst/>
        </a:prstGeom>
        <a:ln w="22225">
          <a:solidFill>
            <a:srgbClr val="FFFFFF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M65"/>
  <sheetViews>
    <sheetView showGridLines="0" tabSelected="1" zoomScale="85" zoomScaleNormal="85" workbookViewId="0">
      <selection activeCell="D2" sqref="D2:F2"/>
    </sheetView>
  </sheetViews>
  <sheetFormatPr baseColWidth="10" defaultColWidth="11.5703125" defaultRowHeight="15"/>
  <cols>
    <col min="1" max="1" width="9.85546875" style="1" customWidth="1"/>
    <col min="2" max="2" width="20.7109375" style="1" customWidth="1"/>
    <col min="3" max="3" width="6.7109375" style="1" customWidth="1"/>
    <col min="4" max="4" width="20.7109375" style="1" customWidth="1"/>
    <col min="5" max="5" width="6.7109375" style="1" customWidth="1"/>
    <col min="6" max="6" width="20.7109375" style="1" customWidth="1"/>
    <col min="7" max="7" width="6.7109375" style="1" customWidth="1"/>
    <col min="8" max="8" width="20.7109375" style="1" customWidth="1"/>
    <col min="9" max="9" width="6.7109375" style="1" customWidth="1"/>
    <col min="10" max="10" width="20.7109375" style="1" customWidth="1"/>
    <col min="11" max="11" width="6.7109375" style="1" customWidth="1"/>
    <col min="12" max="12" width="20.7109375" style="1" customWidth="1"/>
    <col min="13" max="13" width="6.7109375" style="1" customWidth="1"/>
    <col min="14" max="16384" width="11.5703125" style="1"/>
  </cols>
  <sheetData>
    <row r="1" spans="1:13" ht="30" customHeight="1">
      <c r="A1" s="50" t="s">
        <v>56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</row>
    <row r="2" spans="1:13" ht="30" customHeight="1">
      <c r="A2" s="2"/>
      <c r="B2" s="46" t="s">
        <v>39</v>
      </c>
      <c r="C2" s="46"/>
      <c r="D2" s="51" t="s">
        <v>40</v>
      </c>
      <c r="E2" s="52"/>
      <c r="F2" s="53"/>
      <c r="G2" s="2"/>
      <c r="H2" s="2"/>
      <c r="I2" s="2"/>
      <c r="J2" s="2"/>
      <c r="K2" s="2"/>
      <c r="L2" s="2"/>
      <c r="M2" s="2"/>
    </row>
    <row r="3" spans="1:13" ht="24" customHeight="1">
      <c r="B3" s="46" t="s">
        <v>6</v>
      </c>
      <c r="C3" s="46"/>
      <c r="D3" s="47"/>
      <c r="E3" s="48"/>
      <c r="F3" s="48"/>
      <c r="G3" s="48"/>
      <c r="H3" s="48"/>
      <c r="I3" s="48"/>
      <c r="J3" s="49"/>
    </row>
    <row r="4" spans="1:13" ht="24" customHeight="1">
      <c r="B4" s="46" t="s">
        <v>9</v>
      </c>
      <c r="C4" s="46"/>
      <c r="D4" s="47"/>
      <c r="E4" s="48"/>
      <c r="F4" s="48"/>
      <c r="G4" s="46" t="s">
        <v>7</v>
      </c>
      <c r="H4" s="46"/>
      <c r="I4" s="55" t="s">
        <v>38</v>
      </c>
      <c r="J4" s="56"/>
    </row>
    <row r="5" spans="1:13" ht="48" customHeight="1">
      <c r="B5" s="46" t="s">
        <v>8</v>
      </c>
      <c r="C5" s="46"/>
      <c r="D5" s="47"/>
      <c r="E5" s="48"/>
      <c r="F5" s="48"/>
      <c r="G5" s="48"/>
      <c r="H5" s="48"/>
      <c r="I5" s="48"/>
      <c r="J5" s="48"/>
    </row>
    <row r="6" spans="1:13" ht="26.45" customHeight="1"/>
    <row r="7" spans="1:13">
      <c r="A7" s="3"/>
      <c r="B7" s="3" t="s">
        <v>4</v>
      </c>
      <c r="C7" s="4" t="s">
        <v>16</v>
      </c>
      <c r="D7" s="3" t="s">
        <v>5</v>
      </c>
      <c r="E7" s="4" t="s">
        <v>16</v>
      </c>
      <c r="F7" s="3" t="s">
        <v>0</v>
      </c>
      <c r="G7" s="4" t="s">
        <v>16</v>
      </c>
      <c r="H7" s="3" t="s">
        <v>1</v>
      </c>
      <c r="I7" s="4" t="s">
        <v>16</v>
      </c>
      <c r="J7" s="3" t="s">
        <v>2</v>
      </c>
      <c r="K7" s="4" t="s">
        <v>16</v>
      </c>
      <c r="L7" s="3" t="s">
        <v>3</v>
      </c>
      <c r="M7" s="4" t="s">
        <v>16</v>
      </c>
    </row>
    <row r="8" spans="1:13" ht="50.1" customHeight="1">
      <c r="A8" s="3" t="s">
        <v>11</v>
      </c>
      <c r="B8" s="5"/>
      <c r="C8" s="44" t="s">
        <v>17</v>
      </c>
      <c r="D8" s="5"/>
      <c r="E8" s="44" t="s">
        <v>17</v>
      </c>
      <c r="F8" s="5"/>
      <c r="G8" s="44" t="s">
        <v>17</v>
      </c>
      <c r="H8" s="5"/>
      <c r="I8" s="44" t="s">
        <v>17</v>
      </c>
      <c r="J8" s="5"/>
      <c r="K8" s="44" t="s">
        <v>17</v>
      </c>
      <c r="L8" s="5"/>
      <c r="M8" s="44" t="s">
        <v>17</v>
      </c>
    </row>
    <row r="9" spans="1:13" ht="50.1" customHeight="1">
      <c r="A9" s="3" t="s">
        <v>12</v>
      </c>
      <c r="B9" s="5"/>
      <c r="C9" s="44" t="s">
        <v>17</v>
      </c>
      <c r="D9" s="5"/>
      <c r="E9" s="44" t="s">
        <v>17</v>
      </c>
      <c r="F9" s="5"/>
      <c r="G9" s="44" t="s">
        <v>17</v>
      </c>
      <c r="H9" s="7"/>
      <c r="I9" s="44" t="s">
        <v>17</v>
      </c>
      <c r="J9" s="5"/>
      <c r="K9" s="44" t="s">
        <v>17</v>
      </c>
      <c r="L9" s="5"/>
      <c r="M9" s="44" t="s">
        <v>17</v>
      </c>
    </row>
    <row r="10" spans="1:13" ht="50.1" customHeight="1">
      <c r="A10" s="3" t="s">
        <v>13</v>
      </c>
      <c r="B10" s="5"/>
      <c r="C10" s="44" t="s">
        <v>17</v>
      </c>
      <c r="D10" s="5"/>
      <c r="E10" s="44" t="s">
        <v>17</v>
      </c>
      <c r="F10" s="5"/>
      <c r="G10" s="44" t="s">
        <v>17</v>
      </c>
      <c r="H10" s="7"/>
      <c r="I10" s="44" t="s">
        <v>17</v>
      </c>
      <c r="J10" s="5"/>
      <c r="K10" s="44" t="s">
        <v>17</v>
      </c>
      <c r="L10" s="5"/>
      <c r="M10" s="44" t="s">
        <v>17</v>
      </c>
    </row>
    <row r="11" spans="1:13" ht="50.1" customHeight="1">
      <c r="A11" s="3" t="s">
        <v>14</v>
      </c>
      <c r="B11" s="5"/>
      <c r="C11" s="44" t="s">
        <v>17</v>
      </c>
      <c r="D11" s="5"/>
      <c r="E11" s="44" t="s">
        <v>17</v>
      </c>
      <c r="F11" s="5"/>
      <c r="G11" s="44" t="s">
        <v>17</v>
      </c>
      <c r="H11" s="7"/>
      <c r="I11" s="44" t="s">
        <v>17</v>
      </c>
      <c r="J11" s="5"/>
      <c r="K11" s="44" t="s">
        <v>17</v>
      </c>
      <c r="L11" s="5"/>
      <c r="M11" s="44" t="s">
        <v>17</v>
      </c>
    </row>
    <row r="12" spans="1:13" ht="50.1" customHeight="1" thickBot="1">
      <c r="A12" s="3" t="s">
        <v>15</v>
      </c>
      <c r="B12" s="6"/>
      <c r="C12" s="45" t="s">
        <v>17</v>
      </c>
      <c r="D12" s="6"/>
      <c r="E12" s="45" t="s">
        <v>17</v>
      </c>
      <c r="F12" s="6"/>
      <c r="G12" s="44" t="s">
        <v>17</v>
      </c>
      <c r="H12" s="8"/>
      <c r="I12" s="44" t="s">
        <v>17</v>
      </c>
      <c r="J12" s="6"/>
      <c r="K12" s="44" t="s">
        <v>17</v>
      </c>
      <c r="L12" s="6"/>
      <c r="M12" s="44" t="s">
        <v>17</v>
      </c>
    </row>
    <row r="13" spans="1:13" hidden="1"/>
    <row r="14" spans="1:13" hidden="1"/>
    <row r="15" spans="1:13" hidden="1"/>
    <row r="16" spans="1:13" hidden="1">
      <c r="B16" s="26">
        <v>1</v>
      </c>
      <c r="C16" s="23"/>
    </row>
    <row r="17" spans="2:13" hidden="1">
      <c r="B17" s="26">
        <v>2</v>
      </c>
      <c r="C17" s="23"/>
    </row>
    <row r="18" spans="2:13" hidden="1">
      <c r="B18" s="26">
        <v>3</v>
      </c>
      <c r="C18" s="23"/>
    </row>
    <row r="19" spans="2:13" s="9" customFormat="1" hidden="1">
      <c r="B19" s="26">
        <v>4</v>
      </c>
      <c r="C19" s="24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2:13" s="9" customFormat="1" hidden="1">
      <c r="B20" s="26">
        <v>5</v>
      </c>
      <c r="C20" s="24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2:13" s="9" customFormat="1" ht="15.75" hidden="1" thickBot="1">
      <c r="B21" s="27" t="s">
        <v>17</v>
      </c>
      <c r="C21" s="24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2:13" s="9" customFormat="1" hidden="1">
      <c r="B22" s="18" t="s">
        <v>4</v>
      </c>
      <c r="C22" s="19" t="s">
        <v>16</v>
      </c>
      <c r="D22" s="18" t="s">
        <v>5</v>
      </c>
      <c r="E22" s="19" t="s">
        <v>16</v>
      </c>
      <c r="F22" s="18" t="s">
        <v>0</v>
      </c>
      <c r="G22" s="19" t="s">
        <v>16</v>
      </c>
      <c r="H22" s="18" t="s">
        <v>1</v>
      </c>
      <c r="I22" s="19" t="s">
        <v>16</v>
      </c>
      <c r="J22" s="18" t="s">
        <v>2</v>
      </c>
      <c r="K22" s="19" t="s">
        <v>16</v>
      </c>
      <c r="L22" s="18" t="s">
        <v>3</v>
      </c>
      <c r="M22" s="19" t="s">
        <v>16</v>
      </c>
    </row>
    <row r="23" spans="2:13" s="9" customFormat="1" ht="60" hidden="1" customHeight="1">
      <c r="B23" s="20"/>
      <c r="C23" s="21" t="s">
        <v>17</v>
      </c>
      <c r="D23" s="20"/>
      <c r="E23" s="21" t="s">
        <v>17</v>
      </c>
      <c r="F23" s="20"/>
      <c r="G23" s="21" t="s">
        <v>17</v>
      </c>
      <c r="H23" s="22"/>
      <c r="I23" s="21" t="s">
        <v>17</v>
      </c>
      <c r="J23" s="20"/>
      <c r="K23" s="21" t="s">
        <v>17</v>
      </c>
      <c r="L23" s="20"/>
      <c r="M23" s="21" t="s">
        <v>17</v>
      </c>
    </row>
    <row r="24" spans="2:13" s="9" customFormat="1" ht="60" hidden="1" customHeight="1">
      <c r="B24" s="20"/>
      <c r="C24" s="21" t="s">
        <v>17</v>
      </c>
      <c r="D24" s="20"/>
      <c r="E24" s="21" t="s">
        <v>17</v>
      </c>
      <c r="F24" s="20"/>
      <c r="G24" s="21" t="s">
        <v>17</v>
      </c>
      <c r="H24" s="22"/>
      <c r="I24" s="21" t="s">
        <v>17</v>
      </c>
      <c r="J24" s="20"/>
      <c r="K24" s="21" t="s">
        <v>17</v>
      </c>
      <c r="L24" s="20"/>
      <c r="M24" s="21" t="s">
        <v>17</v>
      </c>
    </row>
    <row r="25" spans="2:13" s="9" customFormat="1" ht="60" hidden="1" customHeight="1">
      <c r="B25" s="20"/>
      <c r="C25" s="21" t="s">
        <v>17</v>
      </c>
      <c r="D25" s="20"/>
      <c r="E25" s="21" t="s">
        <v>17</v>
      </c>
      <c r="F25" s="20"/>
      <c r="G25" s="21" t="s">
        <v>17</v>
      </c>
      <c r="H25" s="22"/>
      <c r="I25" s="21" t="s">
        <v>17</v>
      </c>
      <c r="J25" s="20"/>
      <c r="K25" s="21" t="s">
        <v>17</v>
      </c>
      <c r="L25" s="20"/>
      <c r="M25" s="21" t="s">
        <v>17</v>
      </c>
    </row>
    <row r="26" spans="2:13" s="9" customFormat="1" ht="60" hidden="1" customHeight="1">
      <c r="B26" s="20"/>
      <c r="C26" s="21" t="s">
        <v>17</v>
      </c>
      <c r="D26" s="20"/>
      <c r="E26" s="21" t="s">
        <v>17</v>
      </c>
      <c r="F26" s="20"/>
      <c r="G26" s="21" t="s">
        <v>17</v>
      </c>
      <c r="H26" s="22"/>
      <c r="I26" s="21" t="s">
        <v>17</v>
      </c>
      <c r="J26" s="20"/>
      <c r="K26" s="21" t="s">
        <v>17</v>
      </c>
      <c r="L26" s="20"/>
      <c r="M26" s="21" t="s">
        <v>17</v>
      </c>
    </row>
    <row r="27" spans="2:13" s="9" customFormat="1" ht="60" hidden="1" customHeight="1">
      <c r="B27" s="20"/>
      <c r="C27" s="21" t="s">
        <v>17</v>
      </c>
      <c r="D27" s="20"/>
      <c r="E27" s="21" t="s">
        <v>17</v>
      </c>
      <c r="F27" s="20"/>
      <c r="G27" s="21" t="s">
        <v>17</v>
      </c>
      <c r="H27" s="22"/>
      <c r="I27" s="21" t="s">
        <v>17</v>
      </c>
      <c r="J27" s="20"/>
      <c r="K27" s="21" t="s">
        <v>17</v>
      </c>
      <c r="L27" s="20"/>
      <c r="M27" s="21" t="s">
        <v>17</v>
      </c>
    </row>
    <row r="28" spans="2:13" s="9" customFormat="1" hidden="1"/>
    <row r="29" spans="2:13" s="9" customFormat="1" hidden="1">
      <c r="B29" s="17" t="str">
        <f>IF(B26&lt;&gt;"",B26,"--")</f>
        <v>--</v>
      </c>
      <c r="C29" s="17"/>
      <c r="D29" s="17" t="str">
        <f>IF(D26&lt;&gt;"",D26,"--")</f>
        <v>--</v>
      </c>
      <c r="E29" s="17"/>
      <c r="F29" s="17" t="str">
        <f>IF(F26&lt;&gt;"",F26,"--")</f>
        <v>--</v>
      </c>
      <c r="G29" s="17"/>
      <c r="H29" s="17" t="str">
        <f>IF(H26&lt;&gt;"",H26,"--")</f>
        <v>--</v>
      </c>
      <c r="I29" s="17"/>
      <c r="J29" s="17" t="str">
        <f>IF(J26&lt;&gt;"",J26,"--")</f>
        <v>--</v>
      </c>
      <c r="K29" s="17"/>
      <c r="L29" s="17" t="str">
        <f>IF(L26&lt;&gt;"",L26,"--")</f>
        <v>--</v>
      </c>
    </row>
    <row r="30" spans="2:13" s="9" customFormat="1" hidden="1">
      <c r="B30" s="17" t="str">
        <f>IF(B27&lt;&gt;"",CONCATENATE("; ",B27),"")</f>
        <v/>
      </c>
      <c r="C30" s="17"/>
      <c r="D30" s="17" t="str">
        <f>IF(D27&lt;&gt;"",CONCATENATE("; ",D27),"")</f>
        <v/>
      </c>
      <c r="E30" s="17"/>
      <c r="F30" s="17" t="str">
        <f>IF(F27&lt;&gt;"",CONCATENATE("; ",F27),"")</f>
        <v/>
      </c>
      <c r="G30" s="17"/>
      <c r="H30" s="17" t="str">
        <f>IF(H27&lt;&gt;"",CONCATENATE("; ",H27),"")</f>
        <v/>
      </c>
      <c r="I30" s="17"/>
      <c r="J30" s="17" t="str">
        <f>IF(J27&lt;&gt;"",CONCATENATE("; ",J27),"")</f>
        <v/>
      </c>
      <c r="K30" s="17"/>
      <c r="L30" s="17" t="str">
        <f>IF(L27&lt;&gt;"",CONCATENATE("; ",L27),"")</f>
        <v/>
      </c>
    </row>
    <row r="31" spans="2:13" s="9" customFormat="1" hidden="1"/>
    <row r="32" spans="2:13" s="11" customFormat="1" ht="60" hidden="1" customHeight="1">
      <c r="B32" s="16" t="str">
        <f>IF(B23&lt;&gt;"",B23,"")</f>
        <v/>
      </c>
      <c r="C32" s="16" t="str">
        <f>C23</f>
        <v>N</v>
      </c>
      <c r="D32" s="16" t="str">
        <f>IF(D23&lt;&gt;"",D23,"")</f>
        <v/>
      </c>
      <c r="E32" s="16" t="str">
        <f>E23</f>
        <v>N</v>
      </c>
      <c r="F32" s="16" t="str">
        <f>IF(F23&lt;&gt;"",F23,"")</f>
        <v/>
      </c>
      <c r="G32" s="16" t="str">
        <f>G23</f>
        <v>N</v>
      </c>
      <c r="H32" s="16" t="str">
        <f>IF(H23&lt;&gt;"",H23,"")</f>
        <v/>
      </c>
      <c r="I32" s="16" t="str">
        <f>I23</f>
        <v>N</v>
      </c>
      <c r="J32" s="16" t="str">
        <f>IF(J23&lt;&gt;"",J23,"")</f>
        <v/>
      </c>
      <c r="K32" s="16" t="str">
        <f>K23</f>
        <v>N</v>
      </c>
      <c r="L32" s="16" t="str">
        <f>IF(L23&lt;&gt;"",L23,"")</f>
        <v/>
      </c>
      <c r="M32" s="10" t="str">
        <f>M23</f>
        <v>N</v>
      </c>
    </row>
    <row r="33" spans="2:13" s="11" customFormat="1" ht="60" hidden="1" customHeight="1">
      <c r="B33" s="16" t="str">
        <f>IF(B24&lt;&gt;"",B24,"")</f>
        <v/>
      </c>
      <c r="C33" s="16" t="str">
        <f>C24</f>
        <v>N</v>
      </c>
      <c r="D33" s="16" t="str">
        <f>IF(D24&lt;&gt;"",D24,"")</f>
        <v/>
      </c>
      <c r="E33" s="16" t="str">
        <f>E24</f>
        <v>N</v>
      </c>
      <c r="F33" s="16" t="str">
        <f>IF(F24&lt;&gt;"",F24,"")</f>
        <v/>
      </c>
      <c r="G33" s="16" t="str">
        <f>G24</f>
        <v>N</v>
      </c>
      <c r="H33" s="16" t="str">
        <f>IF(H24&lt;&gt;"",H24,"")</f>
        <v/>
      </c>
      <c r="I33" s="16" t="str">
        <f>I24</f>
        <v>N</v>
      </c>
      <c r="J33" s="16" t="str">
        <f>IF(J24&lt;&gt;"",J24,"")</f>
        <v/>
      </c>
      <c r="K33" s="16" t="str">
        <f>K24</f>
        <v>N</v>
      </c>
      <c r="L33" s="16" t="str">
        <f>IF(L24&lt;&gt;"",L24,"")</f>
        <v/>
      </c>
      <c r="M33" s="10" t="str">
        <f>M24</f>
        <v>N</v>
      </c>
    </row>
    <row r="34" spans="2:13" s="11" customFormat="1" ht="60" hidden="1" customHeight="1">
      <c r="B34" s="16" t="str">
        <f>IF(B25&lt;&gt;"",B25,"")</f>
        <v/>
      </c>
      <c r="C34" s="16" t="str">
        <f>C25</f>
        <v>N</v>
      </c>
      <c r="D34" s="16" t="str">
        <f>IF(D25&lt;&gt;"",D25,"")</f>
        <v/>
      </c>
      <c r="E34" s="16" t="str">
        <f>E25</f>
        <v>N</v>
      </c>
      <c r="F34" s="16" t="str">
        <f>IF(F25&lt;&gt;"",F25,"")</f>
        <v/>
      </c>
      <c r="G34" s="16" t="str">
        <f>G25</f>
        <v>N</v>
      </c>
      <c r="H34" s="16" t="str">
        <f>IF(H25&lt;&gt;"",H25,"")</f>
        <v/>
      </c>
      <c r="I34" s="16" t="str">
        <f>I25</f>
        <v>N</v>
      </c>
      <c r="J34" s="16" t="str">
        <f>IF(J25&lt;&gt;"",J25,"")</f>
        <v/>
      </c>
      <c r="K34" s="16" t="str">
        <f>K25</f>
        <v>N</v>
      </c>
      <c r="L34" s="16" t="str">
        <f>IF(L25&lt;&gt;"",L25,"")</f>
        <v/>
      </c>
      <c r="M34" s="10" t="str">
        <f>M25</f>
        <v>N</v>
      </c>
    </row>
    <row r="35" spans="2:13" s="9" customFormat="1" hidden="1"/>
    <row r="36" spans="2:13" s="9" customFormat="1" hidden="1"/>
    <row r="37" spans="2:13" s="9" customFormat="1" hidden="1"/>
    <row r="38" spans="2:13" s="9" customFormat="1" hidden="1"/>
    <row r="39" spans="2:13" s="9" customFormat="1" hidden="1">
      <c r="D39" s="54" t="s">
        <v>53</v>
      </c>
      <c r="E39" s="54"/>
      <c r="F39" s="54"/>
      <c r="H39" s="12" t="s">
        <v>55</v>
      </c>
    </row>
    <row r="40" spans="2:13" s="9" customFormat="1" hidden="1">
      <c r="D40" s="14" t="s">
        <v>36</v>
      </c>
      <c r="E40" s="25" t="str">
        <f>IF(I4="Toda la Organización"," - Toda la Organización","")</f>
        <v/>
      </c>
      <c r="F40" s="14"/>
      <c r="H40" s="15" t="s">
        <v>40</v>
      </c>
    </row>
    <row r="41" spans="2:13" s="9" customFormat="1" hidden="1">
      <c r="B41" s="12" t="s">
        <v>54</v>
      </c>
      <c r="D41" s="14" t="s">
        <v>35</v>
      </c>
      <c r="E41" s="25" t="str">
        <f>IF(AND(I4&lt;&gt;"Otro…",I4&lt;&gt;"Toda la Organización"),CONCATENATE(" - Sector de ",I4),"")</f>
        <v xml:space="preserve"> - Sector de Almacén</v>
      </c>
      <c r="F41" s="14"/>
      <c r="H41" s="15" t="s">
        <v>41</v>
      </c>
    </row>
    <row r="42" spans="2:13" s="9" customFormat="1" hidden="1">
      <c r="B42" s="13" t="s">
        <v>38</v>
      </c>
      <c r="H42" s="15" t="s">
        <v>42</v>
      </c>
    </row>
    <row r="43" spans="2:13" s="9" customFormat="1" hidden="1">
      <c r="B43" s="13" t="s">
        <v>29</v>
      </c>
      <c r="H43" s="15" t="s">
        <v>43</v>
      </c>
    </row>
    <row r="44" spans="2:13" s="9" customFormat="1" hidden="1">
      <c r="B44" s="13" t="s">
        <v>21</v>
      </c>
      <c r="H44" s="15" t="s">
        <v>44</v>
      </c>
    </row>
    <row r="45" spans="2:13" s="9" customFormat="1" hidden="1">
      <c r="B45" s="13" t="s">
        <v>24</v>
      </c>
      <c r="H45" s="15" t="str">
        <f>UPPER(D2)</f>
        <v>DIAGRAMA DE ISHIKAWA</v>
      </c>
    </row>
    <row r="46" spans="2:13" s="9" customFormat="1" hidden="1">
      <c r="B46" s="13" t="s">
        <v>30</v>
      </c>
    </row>
    <row r="47" spans="2:13" s="9" customFormat="1" hidden="1">
      <c r="B47" s="13" t="s">
        <v>20</v>
      </c>
    </row>
    <row r="48" spans="2:13" s="9" customFormat="1" hidden="1">
      <c r="B48" s="13" t="s">
        <v>25</v>
      </c>
    </row>
    <row r="49" spans="2:2" s="9" customFormat="1" hidden="1">
      <c r="B49" s="13" t="s">
        <v>23</v>
      </c>
    </row>
    <row r="50" spans="2:2" s="9" customFormat="1" hidden="1">
      <c r="B50" s="13" t="s">
        <v>37</v>
      </c>
    </row>
    <row r="51" spans="2:2" s="9" customFormat="1" hidden="1">
      <c r="B51" s="13" t="s">
        <v>31</v>
      </c>
    </row>
    <row r="52" spans="2:2" s="9" customFormat="1" hidden="1">
      <c r="B52" s="13" t="s">
        <v>22</v>
      </c>
    </row>
    <row r="53" spans="2:2" s="9" customFormat="1" hidden="1">
      <c r="B53" s="13" t="s">
        <v>32</v>
      </c>
    </row>
    <row r="54" spans="2:2" s="9" customFormat="1" hidden="1">
      <c r="B54" s="13" t="s">
        <v>28</v>
      </c>
    </row>
    <row r="55" spans="2:2" s="9" customFormat="1" hidden="1">
      <c r="B55" s="13" t="s">
        <v>18</v>
      </c>
    </row>
    <row r="56" spans="2:2" s="9" customFormat="1" hidden="1">
      <c r="B56" s="13" t="s">
        <v>26</v>
      </c>
    </row>
    <row r="57" spans="2:2" s="9" customFormat="1" hidden="1">
      <c r="B57" s="13" t="s">
        <v>27</v>
      </c>
    </row>
    <row r="58" spans="2:2" s="9" customFormat="1" hidden="1">
      <c r="B58" s="13" t="s">
        <v>19</v>
      </c>
    </row>
    <row r="59" spans="2:2" s="9" customFormat="1" hidden="1">
      <c r="B59" s="13" t="s">
        <v>33</v>
      </c>
    </row>
    <row r="60" spans="2:2" s="9" customFormat="1" hidden="1">
      <c r="B60" s="13" t="s">
        <v>34</v>
      </c>
    </row>
    <row r="61" spans="2:2" s="9" customFormat="1" hidden="1"/>
    <row r="62" spans="2:2" s="9" customFormat="1" hidden="1"/>
    <row r="63" spans="2:2" s="9" customFormat="1" hidden="1"/>
    <row r="64" spans="2:2" s="9" customFormat="1" hidden="1"/>
    <row r="65" s="9" customFormat="1"/>
  </sheetData>
  <sheetProtection password="C69D" sheet="1" objects="1" scenarios="1" selectLockedCells="1"/>
  <sortState ref="L27:M27">
    <sortCondition ref="M23:M27"/>
  </sortState>
  <mergeCells count="12">
    <mergeCell ref="D39:F39"/>
    <mergeCell ref="B4:C4"/>
    <mergeCell ref="B5:C5"/>
    <mergeCell ref="D5:J5"/>
    <mergeCell ref="D4:F4"/>
    <mergeCell ref="G4:H4"/>
    <mergeCell ref="I4:J4"/>
    <mergeCell ref="B3:C3"/>
    <mergeCell ref="D3:J3"/>
    <mergeCell ref="A1:M1"/>
    <mergeCell ref="B2:C2"/>
    <mergeCell ref="D2:F2"/>
  </mergeCells>
  <dataValidations count="5">
    <dataValidation type="list" allowBlank="1" showInputMessage="1" showErrorMessage="1" promptTitle="Indique importancia" prompt="1 para el más importante, 5 para el menos importante" sqref="C22:C26 E22:E26 G22:G26 K22:K26 I22:I26 M22:M26">
      <formula1>$B$16:$B$21</formula1>
    </dataValidation>
    <dataValidation type="list" allowBlank="1" showInputMessage="1" showErrorMessage="1" sqref="I4:J4">
      <formula1>$B$42:$B$60</formula1>
    </dataValidation>
    <dataValidation type="list" allowBlank="1" showInputMessage="1" showErrorMessage="1" sqref="D2:F2">
      <formula1>$H$40:$H$44</formula1>
    </dataValidation>
    <dataValidation type="textLength" allowBlank="1" showInputMessage="1" showErrorMessage="1" errorTitle="Error" error="¡Reduzca la descripción a un máximo de 60 caracteres!" promptTitle="Causa" prompt="Descripción de la causa (máximo 60 caracteres)" sqref="L8:L12 D8:D12 F8:F12 H8:H12 J8:J12 B8:B12">
      <formula1>0</formula1>
      <formula2>60</formula2>
    </dataValidation>
    <dataValidation type="list" allowBlank="1" showInputMessage="1" showErrorMessage="1" errorTitle="Error" error="¡Indique un valor válido (1 al 5 o N)!" promptTitle="Importancia" prompt="Indicar Importancia. 1 para la causa de mayor importancia. N para causas no utilizadas." sqref="M8:M12 E8:E12 K8:K12 G8:G12 I8:I12 C8:C12">
      <formula1>$B$16:$B$21</formula1>
    </dataValidation>
  </dataValidations>
  <pageMargins left="0.19685039370078741" right="0.35433070866141736" top="0.74803149606299213" bottom="0.74803149606299213" header="0.31496062992125984" footer="0.31496062992125984"/>
  <pageSetup paperSize="9" scale="81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pageSetUpPr fitToPage="1"/>
  </sheetPr>
  <dimension ref="A1:Q55"/>
  <sheetViews>
    <sheetView showGridLines="0" workbookViewId="0">
      <selection sqref="A1:Q1"/>
    </sheetView>
  </sheetViews>
  <sheetFormatPr baseColWidth="10" defaultRowHeight="15"/>
  <cols>
    <col min="1" max="1" width="10.5703125" style="28" customWidth="1"/>
    <col min="2" max="2" width="7.85546875" style="28" customWidth="1"/>
    <col min="3" max="3" width="11.42578125" style="28" customWidth="1"/>
    <col min="4" max="5" width="11.42578125" style="28"/>
    <col min="6" max="6" width="7.85546875" style="28" customWidth="1"/>
    <col min="7" max="9" width="11.42578125" style="28"/>
    <col min="10" max="10" width="7.85546875" style="28" customWidth="1"/>
    <col min="11" max="13" width="11.42578125" style="28"/>
    <col min="14" max="14" width="8.140625" style="28" customWidth="1"/>
    <col min="15" max="15" width="2.28515625" style="28" customWidth="1"/>
    <col min="16" max="16" width="11.42578125" style="28"/>
    <col min="17" max="17" width="10" style="28" customWidth="1"/>
    <col min="18" max="16384" width="11.42578125" style="28"/>
  </cols>
  <sheetData>
    <row r="1" spans="1:17" ht="25.9" customHeight="1">
      <c r="A1" s="57" t="str">
        <f>CONCATENATE(Datos!H45," / ",Datos!D3)</f>
        <v xml:space="preserve">DIAGRAMA DE ISHIKAWA / 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ht="25.9" customHeight="1">
      <c r="A2" s="57" t="str">
        <f>CONCATENATE(Datos!D4,Datos!E41)</f>
        <v xml:space="preserve"> - Sector de Almacén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>
      <c r="A3" s="58" t="str">
        <f>CONCATENATE("EQUIPO DE TRABAJO: ",Datos!D5)</f>
        <v xml:space="preserve">EQUIPO DE TRABAJO: </v>
      </c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</row>
    <row r="6" spans="1:17">
      <c r="A6" s="60"/>
      <c r="B6" s="6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1"/>
      <c r="O6" s="32"/>
    </row>
    <row r="7" spans="1:17" ht="21.75" customHeight="1">
      <c r="N7" s="32"/>
      <c r="O7" s="32"/>
    </row>
    <row r="8" spans="1:17" ht="18.75">
      <c r="C8" s="65" t="s">
        <v>4</v>
      </c>
      <c r="D8" s="65"/>
      <c r="E8" s="33"/>
      <c r="F8" s="33"/>
      <c r="G8" s="65" t="s">
        <v>5</v>
      </c>
      <c r="H8" s="65"/>
      <c r="I8" s="33"/>
      <c r="J8" s="33"/>
      <c r="K8" s="65" t="s">
        <v>0</v>
      </c>
      <c r="L8" s="65"/>
      <c r="N8" s="32"/>
      <c r="O8" s="32"/>
    </row>
    <row r="9" spans="1:17" ht="18.75">
      <c r="C9" s="65"/>
      <c r="D9" s="65"/>
      <c r="E9" s="33"/>
      <c r="F9" s="33"/>
      <c r="G9" s="65"/>
      <c r="H9" s="65"/>
      <c r="I9" s="33"/>
      <c r="J9" s="33"/>
      <c r="K9" s="65"/>
      <c r="L9" s="65"/>
      <c r="N9" s="32"/>
      <c r="O9" s="32"/>
    </row>
    <row r="10" spans="1:17">
      <c r="A10" s="63" t="str">
        <f>Datos!B32</f>
        <v/>
      </c>
      <c r="B10" s="63"/>
      <c r="E10" s="63" t="str">
        <f>Datos!D32</f>
        <v/>
      </c>
      <c r="F10" s="63"/>
      <c r="I10" s="63" t="str">
        <f>Datos!F32</f>
        <v/>
      </c>
      <c r="J10" s="63"/>
      <c r="M10" s="30"/>
      <c r="N10" s="32"/>
      <c r="O10" s="32"/>
    </row>
    <row r="11" spans="1:17" ht="15" customHeight="1">
      <c r="A11" s="63"/>
      <c r="B11" s="63"/>
      <c r="C11" s="30"/>
      <c r="E11" s="63"/>
      <c r="F11" s="63"/>
      <c r="G11" s="30"/>
      <c r="I11" s="63"/>
      <c r="J11" s="63"/>
      <c r="K11" s="30"/>
      <c r="M11" s="34"/>
      <c r="N11" s="32"/>
      <c r="O11" s="32"/>
    </row>
    <row r="12" spans="1:17">
      <c r="A12" s="63"/>
      <c r="B12" s="63"/>
      <c r="C12" s="30"/>
      <c r="E12" s="63"/>
      <c r="F12" s="63"/>
      <c r="G12" s="30"/>
      <c r="I12" s="63"/>
      <c r="J12" s="63"/>
      <c r="K12" s="30"/>
      <c r="M12" s="34"/>
      <c r="N12" s="32"/>
      <c r="O12" s="32"/>
    </row>
    <row r="13" spans="1:17" ht="14.45" customHeight="1">
      <c r="A13" s="30"/>
      <c r="B13" s="63" t="str">
        <f>Datos!B33</f>
        <v/>
      </c>
      <c r="C13" s="63"/>
      <c r="E13" s="30"/>
      <c r="F13" s="63" t="str">
        <f>Datos!D33</f>
        <v/>
      </c>
      <c r="G13" s="63"/>
      <c r="I13" s="30"/>
      <c r="J13" s="63" t="str">
        <f>Datos!F33</f>
        <v/>
      </c>
      <c r="K13" s="63"/>
      <c r="M13" s="30"/>
      <c r="N13" s="32"/>
      <c r="O13" s="32"/>
    </row>
    <row r="14" spans="1:17" ht="15" customHeight="1">
      <c r="B14" s="63"/>
      <c r="C14" s="63"/>
      <c r="F14" s="63"/>
      <c r="G14" s="63"/>
      <c r="J14" s="63"/>
      <c r="K14" s="63"/>
      <c r="N14" s="32"/>
      <c r="O14" s="32"/>
      <c r="P14" s="62">
        <f>Datos!D3</f>
        <v>0</v>
      </c>
      <c r="Q14" s="62"/>
    </row>
    <row r="15" spans="1:17" ht="15" customHeight="1">
      <c r="B15" s="63"/>
      <c r="C15" s="63"/>
      <c r="F15" s="63"/>
      <c r="G15" s="63"/>
      <c r="J15" s="63"/>
      <c r="K15" s="63"/>
      <c r="N15" s="32"/>
      <c r="O15" s="32"/>
      <c r="P15" s="62"/>
      <c r="Q15" s="62"/>
    </row>
    <row r="16" spans="1:17" ht="15" customHeight="1">
      <c r="C16" s="63" t="str">
        <f>Datos!B34</f>
        <v/>
      </c>
      <c r="D16" s="63"/>
      <c r="F16" s="30"/>
      <c r="G16" s="63" t="str">
        <f>Datos!D34</f>
        <v/>
      </c>
      <c r="H16" s="63"/>
      <c r="K16" s="63" t="str">
        <f>Datos!F34</f>
        <v/>
      </c>
      <c r="L16" s="63"/>
      <c r="N16" s="32"/>
      <c r="O16" s="32"/>
      <c r="P16" s="62"/>
      <c r="Q16" s="62"/>
    </row>
    <row r="17" spans="1:17" ht="15" customHeight="1">
      <c r="C17" s="63"/>
      <c r="D17" s="63"/>
      <c r="F17" s="30"/>
      <c r="G17" s="63"/>
      <c r="H17" s="63"/>
      <c r="K17" s="63"/>
      <c r="L17" s="63"/>
      <c r="N17" s="32"/>
      <c r="O17" s="32"/>
      <c r="P17" s="62"/>
      <c r="Q17" s="62"/>
    </row>
    <row r="18" spans="1:17" ht="15" customHeight="1">
      <c r="C18" s="63"/>
      <c r="D18" s="63"/>
      <c r="F18" s="30"/>
      <c r="G18" s="63"/>
      <c r="H18" s="63"/>
      <c r="K18" s="63"/>
      <c r="L18" s="63"/>
      <c r="N18" s="32"/>
      <c r="O18" s="32"/>
      <c r="P18" s="62"/>
      <c r="Q18" s="62"/>
    </row>
    <row r="19" spans="1:17" ht="15" customHeight="1">
      <c r="F19" s="30"/>
      <c r="G19" s="30"/>
      <c r="N19" s="32"/>
      <c r="O19" s="32"/>
      <c r="P19" s="62"/>
      <c r="Q19" s="62"/>
    </row>
    <row r="20" spans="1:17" ht="15" customHeight="1">
      <c r="N20" s="32"/>
      <c r="O20" s="32"/>
      <c r="P20" s="62"/>
      <c r="Q20" s="62"/>
    </row>
    <row r="21" spans="1:17" ht="15" customHeight="1">
      <c r="C21" s="63" t="str">
        <f>Datos!H32</f>
        <v/>
      </c>
      <c r="D21" s="63"/>
      <c r="E21" s="59"/>
      <c r="G21" s="63" t="str">
        <f>Datos!J32</f>
        <v/>
      </c>
      <c r="H21" s="63"/>
      <c r="K21" s="63" t="str">
        <f>Datos!L32</f>
        <v/>
      </c>
      <c r="L21" s="63"/>
      <c r="N21" s="32"/>
      <c r="O21" s="32"/>
      <c r="P21" s="62"/>
      <c r="Q21" s="62"/>
    </row>
    <row r="22" spans="1:17" ht="15" customHeight="1">
      <c r="C22" s="63"/>
      <c r="D22" s="63"/>
      <c r="E22" s="59"/>
      <c r="G22" s="63"/>
      <c r="H22" s="63"/>
      <c r="K22" s="63"/>
      <c r="L22" s="63"/>
      <c r="N22" s="32"/>
      <c r="O22" s="32"/>
      <c r="P22" s="62"/>
      <c r="Q22" s="62"/>
    </row>
    <row r="23" spans="1:17" ht="15" customHeight="1">
      <c r="C23" s="63"/>
      <c r="D23" s="63"/>
      <c r="E23" s="59"/>
      <c r="G23" s="63"/>
      <c r="H23" s="63"/>
      <c r="K23" s="63"/>
      <c r="L23" s="63"/>
      <c r="N23" s="32"/>
      <c r="O23" s="32"/>
      <c r="P23" s="62"/>
      <c r="Q23" s="62"/>
    </row>
    <row r="24" spans="1:17" ht="15" customHeight="1">
      <c r="B24" s="63" t="str">
        <f>Datos!H33</f>
        <v/>
      </c>
      <c r="C24" s="63"/>
      <c r="D24" s="64"/>
      <c r="F24" s="63" t="str">
        <f>Datos!J33</f>
        <v/>
      </c>
      <c r="G24" s="63"/>
      <c r="J24" s="63" t="str">
        <f>Datos!L33</f>
        <v/>
      </c>
      <c r="K24" s="63"/>
      <c r="N24" s="32"/>
      <c r="O24" s="32"/>
      <c r="P24" s="62"/>
      <c r="Q24" s="62"/>
    </row>
    <row r="25" spans="1:17" ht="15" customHeight="1">
      <c r="B25" s="63"/>
      <c r="C25" s="63"/>
      <c r="D25" s="64"/>
      <c r="F25" s="63"/>
      <c r="G25" s="63"/>
      <c r="J25" s="63"/>
      <c r="K25" s="63"/>
      <c r="N25" s="32"/>
      <c r="O25" s="32"/>
      <c r="P25" s="62"/>
      <c r="Q25" s="62"/>
    </row>
    <row r="26" spans="1:17" ht="15" customHeight="1">
      <c r="B26" s="63"/>
      <c r="C26" s="63"/>
      <c r="D26" s="64"/>
      <c r="F26" s="63"/>
      <c r="G26" s="63"/>
      <c r="J26" s="63"/>
      <c r="K26" s="63"/>
      <c r="N26" s="32"/>
      <c r="O26" s="32"/>
      <c r="P26" s="62"/>
      <c r="Q26" s="62"/>
    </row>
    <row r="27" spans="1:17" ht="15" customHeight="1">
      <c r="A27" s="63" t="str">
        <f>Datos!H34</f>
        <v/>
      </c>
      <c r="B27" s="63"/>
      <c r="C27" s="64"/>
      <c r="E27" s="63" t="str">
        <f>Datos!J34</f>
        <v/>
      </c>
      <c r="F27" s="63"/>
      <c r="I27" s="63" t="str">
        <f>Datos!L34</f>
        <v/>
      </c>
      <c r="J27" s="63"/>
      <c r="N27" s="32"/>
      <c r="O27" s="32"/>
      <c r="P27" s="35"/>
      <c r="Q27" s="35"/>
    </row>
    <row r="28" spans="1:17">
      <c r="A28" s="63"/>
      <c r="B28" s="63"/>
      <c r="C28" s="64"/>
      <c r="E28" s="63"/>
      <c r="F28" s="63"/>
      <c r="G28" s="30"/>
      <c r="I28" s="63"/>
      <c r="J28" s="63"/>
      <c r="K28" s="30"/>
      <c r="N28" s="32"/>
      <c r="O28" s="32"/>
    </row>
    <row r="29" spans="1:17">
      <c r="A29" s="63"/>
      <c r="B29" s="63"/>
      <c r="C29" s="64"/>
      <c r="E29" s="63"/>
      <c r="F29" s="63"/>
      <c r="G29" s="30"/>
      <c r="I29" s="63"/>
      <c r="J29" s="63"/>
      <c r="K29" s="30"/>
      <c r="N29" s="32"/>
      <c r="O29" s="32"/>
    </row>
    <row r="30" spans="1:17" ht="18.75">
      <c r="C30" s="65" t="s">
        <v>1</v>
      </c>
      <c r="D30" s="65"/>
      <c r="E30" s="33"/>
      <c r="F30" s="33"/>
      <c r="G30" s="65" t="s">
        <v>2</v>
      </c>
      <c r="H30" s="65"/>
      <c r="I30" s="33"/>
      <c r="J30" s="33"/>
      <c r="K30" s="65" t="s">
        <v>3</v>
      </c>
      <c r="L30" s="65"/>
      <c r="N30" s="32"/>
      <c r="O30" s="32"/>
    </row>
    <row r="31" spans="1:17" ht="18.75">
      <c r="C31" s="65"/>
      <c r="D31" s="65"/>
      <c r="E31" s="33"/>
      <c r="F31" s="33"/>
      <c r="G31" s="65"/>
      <c r="H31" s="65"/>
      <c r="I31" s="33"/>
      <c r="J31" s="33"/>
      <c r="K31" s="65"/>
      <c r="L31" s="65"/>
      <c r="N31" s="32"/>
      <c r="O31" s="32"/>
    </row>
    <row r="32" spans="1:17" ht="18.75">
      <c r="C32" s="36"/>
      <c r="D32" s="36"/>
      <c r="E32" s="33"/>
      <c r="F32" s="33"/>
      <c r="G32" s="36"/>
      <c r="H32" s="36"/>
      <c r="I32" s="33"/>
      <c r="J32" s="33"/>
      <c r="K32" s="36"/>
      <c r="L32" s="36"/>
      <c r="O32" s="32"/>
    </row>
    <row r="33" spans="1:16">
      <c r="N33" s="32"/>
      <c r="O33" s="32"/>
    </row>
    <row r="34" spans="1:16">
      <c r="A34" s="37" t="s">
        <v>10</v>
      </c>
    </row>
    <row r="35" spans="1:16">
      <c r="A35" s="37"/>
    </row>
    <row r="36" spans="1:16">
      <c r="A36" s="38" t="s">
        <v>4</v>
      </c>
      <c r="B36" s="68" t="str">
        <f>CONCATENATE(Datos!B$29,Datos!B$30)</f>
        <v>--</v>
      </c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</row>
    <row r="37" spans="1:16">
      <c r="A37" s="38" t="s">
        <v>5</v>
      </c>
      <c r="B37" s="68" t="str">
        <f>CONCATENATE(Datos!D$29,Datos!D$30)</f>
        <v>--</v>
      </c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</row>
    <row r="38" spans="1:16">
      <c r="A38" s="38" t="s">
        <v>0</v>
      </c>
      <c r="B38" s="68" t="str">
        <f>CONCATENATE(Datos!F$29,Datos!F$30)</f>
        <v>--</v>
      </c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</row>
    <row r="39" spans="1:16">
      <c r="A39" s="38" t="s">
        <v>1</v>
      </c>
      <c r="B39" s="68" t="str">
        <f>CONCATENATE(Datos!H$29,Datos!H$30)</f>
        <v>--</v>
      </c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</row>
    <row r="40" spans="1:16">
      <c r="A40" s="38" t="s">
        <v>2</v>
      </c>
      <c r="B40" s="68" t="str">
        <f>CONCATENATE(Datos!J$29,Datos!J$30)</f>
        <v>--</v>
      </c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</row>
    <row r="41" spans="1:16">
      <c r="A41" s="38" t="s">
        <v>3</v>
      </c>
      <c r="B41" s="68" t="str">
        <f>CONCATENATE(Datos!L$29,Datos!L$30)</f>
        <v>--</v>
      </c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</row>
    <row r="42" spans="1:16">
      <c r="K42" s="66" t="s">
        <v>51</v>
      </c>
      <c r="L42" s="66"/>
      <c r="M42" s="66"/>
      <c r="N42" s="66"/>
      <c r="O42" s="66"/>
      <c r="P42" s="66"/>
    </row>
    <row r="43" spans="1:16">
      <c r="K43" s="67" t="s">
        <v>52</v>
      </c>
      <c r="L43" s="67"/>
      <c r="M43" s="67"/>
      <c r="N43" s="67"/>
      <c r="O43" s="67"/>
      <c r="P43" s="67"/>
    </row>
    <row r="44" spans="1:16" hidden="1">
      <c r="B44" s="39">
        <v>2</v>
      </c>
      <c r="C44" s="39">
        <v>3</v>
      </c>
      <c r="D44" s="39">
        <v>4</v>
      </c>
      <c r="E44" s="39">
        <v>5</v>
      </c>
      <c r="F44" s="39">
        <v>6</v>
      </c>
      <c r="G44" s="39">
        <v>7</v>
      </c>
    </row>
    <row r="45" spans="1:16" hidden="1">
      <c r="B45" s="40" t="s">
        <v>45</v>
      </c>
      <c r="C45" s="40" t="s">
        <v>46</v>
      </c>
      <c r="D45" s="40" t="s">
        <v>50</v>
      </c>
      <c r="E45" s="40" t="s">
        <v>47</v>
      </c>
      <c r="F45" s="40" t="s">
        <v>48</v>
      </c>
      <c r="G45" s="40" t="s">
        <v>49</v>
      </c>
    </row>
    <row r="46" spans="1:16" hidden="1">
      <c r="A46" s="41">
        <v>46</v>
      </c>
      <c r="B46" s="42" t="str">
        <f>Datos!C23</f>
        <v>N</v>
      </c>
      <c r="C46" s="42" t="str">
        <f>Datos!E23</f>
        <v>N</v>
      </c>
      <c r="D46" s="42" t="str">
        <f>Datos!G23</f>
        <v>N</v>
      </c>
      <c r="E46" s="42" t="str">
        <f>Datos!I23</f>
        <v>N</v>
      </c>
      <c r="F46" s="42" t="str">
        <f>Datos!K23</f>
        <v>N</v>
      </c>
      <c r="G46" s="42" t="str">
        <f>Datos!M23</f>
        <v>N</v>
      </c>
      <c r="J46" s="38"/>
    </row>
    <row r="47" spans="1:16" hidden="1">
      <c r="A47" s="41">
        <v>47</v>
      </c>
      <c r="B47" s="42" t="str">
        <f>Datos!C24</f>
        <v>N</v>
      </c>
      <c r="C47" s="42" t="str">
        <f>Datos!E24</f>
        <v>N</v>
      </c>
      <c r="D47" s="42" t="str">
        <f>Datos!G24</f>
        <v>N</v>
      </c>
      <c r="E47" s="42" t="str">
        <f>Datos!I24</f>
        <v>N</v>
      </c>
      <c r="F47" s="42" t="str">
        <f>Datos!K24</f>
        <v>N</v>
      </c>
      <c r="G47" s="42" t="str">
        <f>Datos!M24</f>
        <v>N</v>
      </c>
    </row>
    <row r="48" spans="1:16" hidden="1">
      <c r="A48" s="41">
        <v>48</v>
      </c>
      <c r="B48" s="42" t="str">
        <f>Datos!C25</f>
        <v>N</v>
      </c>
      <c r="C48" s="42" t="str">
        <f>Datos!E25</f>
        <v>N</v>
      </c>
      <c r="D48" s="42" t="str">
        <f>Datos!G25</f>
        <v>N</v>
      </c>
      <c r="E48" s="42" t="str">
        <f>Datos!I25</f>
        <v>N</v>
      </c>
      <c r="F48" s="42" t="str">
        <f>Datos!K25</f>
        <v>N</v>
      </c>
      <c r="G48" s="42" t="str">
        <f>Datos!M25</f>
        <v>N</v>
      </c>
    </row>
    <row r="49" spans="1:16" hidden="1">
      <c r="A49" s="41">
        <v>49</v>
      </c>
      <c r="B49" s="43" t="str">
        <f>Datos!C26</f>
        <v>N</v>
      </c>
      <c r="C49" s="43" t="str">
        <f>Datos!E26</f>
        <v>N</v>
      </c>
      <c r="D49" s="43" t="str">
        <f>Datos!G26</f>
        <v>N</v>
      </c>
      <c r="E49" s="43" t="str">
        <f>Datos!I26</f>
        <v>N</v>
      </c>
      <c r="F49" s="43" t="str">
        <f>Datos!K26</f>
        <v>N</v>
      </c>
      <c r="G49" s="43" t="str">
        <f>Datos!M26</f>
        <v>N</v>
      </c>
    </row>
    <row r="50" spans="1:16" hidden="1">
      <c r="A50" s="41">
        <v>50</v>
      </c>
      <c r="B50" s="43" t="str">
        <f>Datos!C27</f>
        <v>N</v>
      </c>
      <c r="C50" s="43" t="str">
        <f>Datos!E27</f>
        <v>N</v>
      </c>
      <c r="D50" s="43" t="str">
        <f>Datos!G27</f>
        <v>N</v>
      </c>
      <c r="E50" s="43" t="str">
        <f>Datos!I27</f>
        <v>N</v>
      </c>
      <c r="F50" s="43" t="str">
        <f>Datos!K27</f>
        <v>N</v>
      </c>
      <c r="G50" s="43" t="str">
        <f>Datos!M27</f>
        <v>N</v>
      </c>
    </row>
    <row r="51" spans="1:16" hidden="1"/>
    <row r="52" spans="1:16" hidden="1">
      <c r="K52" s="67"/>
      <c r="L52" s="67"/>
      <c r="M52" s="67"/>
      <c r="N52" s="67"/>
      <c r="O52" s="67"/>
      <c r="P52" s="67"/>
    </row>
    <row r="53" spans="1:16" hidden="1"/>
    <row r="54" spans="1:16" hidden="1"/>
    <row r="55" spans="1:16" hidden="1"/>
  </sheetData>
  <sheetProtection password="C69D" sheet="1" objects="1" scenarios="1" selectLockedCells="1" selectUnlockedCells="1"/>
  <mergeCells count="41">
    <mergeCell ref="K42:P42"/>
    <mergeCell ref="K52:P52"/>
    <mergeCell ref="B41:N41"/>
    <mergeCell ref="B36:N36"/>
    <mergeCell ref="B37:N37"/>
    <mergeCell ref="B38:N38"/>
    <mergeCell ref="B39:N39"/>
    <mergeCell ref="B40:N40"/>
    <mergeCell ref="K43:P43"/>
    <mergeCell ref="C30:D31"/>
    <mergeCell ref="G30:H31"/>
    <mergeCell ref="K30:L31"/>
    <mergeCell ref="K8:L9"/>
    <mergeCell ref="G8:H9"/>
    <mergeCell ref="C8:D9"/>
    <mergeCell ref="I10:J12"/>
    <mergeCell ref="C16:D18"/>
    <mergeCell ref="C21:D23"/>
    <mergeCell ref="A27:B29"/>
    <mergeCell ref="B24:C26"/>
    <mergeCell ref="F24:G26"/>
    <mergeCell ref="J24:K26"/>
    <mergeCell ref="E27:F29"/>
    <mergeCell ref="I27:J29"/>
    <mergeCell ref="D24:D26"/>
    <mergeCell ref="C27:C29"/>
    <mergeCell ref="A1:Q1"/>
    <mergeCell ref="A2:Q2"/>
    <mergeCell ref="A3:Q4"/>
    <mergeCell ref="E21:E23"/>
    <mergeCell ref="A6:B6"/>
    <mergeCell ref="P14:Q26"/>
    <mergeCell ref="E10:F12"/>
    <mergeCell ref="F13:G15"/>
    <mergeCell ref="G16:H18"/>
    <mergeCell ref="K16:L18"/>
    <mergeCell ref="K21:L23"/>
    <mergeCell ref="G21:H23"/>
    <mergeCell ref="A10:B12"/>
    <mergeCell ref="B13:C15"/>
    <mergeCell ref="J13:K15"/>
  </mergeCells>
  <pageMargins left="0.14000000000000001" right="0.12" top="0.39" bottom="0.12" header="0.25" footer="0.18"/>
  <pageSetup paperSize="9"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Diagrama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</cp:lastModifiedBy>
  <cp:lastPrinted>2015-11-09T00:17:17Z</cp:lastPrinted>
  <dcterms:created xsi:type="dcterms:W3CDTF">2015-11-01T12:59:50Z</dcterms:created>
  <dcterms:modified xsi:type="dcterms:W3CDTF">2015-11-13T10:10:59Z</dcterms:modified>
</cp:coreProperties>
</file>