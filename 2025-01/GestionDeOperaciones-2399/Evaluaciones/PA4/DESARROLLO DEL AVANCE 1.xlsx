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wmf" ContentType="image/x-w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SIL+\CICLO 5\2399_GESTIÓN DE OPERACIONES\"/>
    </mc:Choice>
  </mc:AlternateContent>
  <bookViews>
    <workbookView xWindow="0" yWindow="0" windowWidth="17970" windowHeight="6030"/>
  </bookViews>
  <sheets>
    <sheet name="DESARROLLO DE PA4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6" i="2" l="1"/>
  <c r="B12" i="2" l="1"/>
  <c r="E12" i="2"/>
  <c r="F12" i="2"/>
  <c r="D12" i="2"/>
  <c r="F4" i="2"/>
  <c r="F5" i="2"/>
  <c r="F6" i="2"/>
  <c r="F7" i="2"/>
  <c r="F8" i="2"/>
  <c r="F9" i="2"/>
  <c r="F10" i="2"/>
  <c r="F11" i="2"/>
  <c r="F3" i="2"/>
  <c r="D3" i="2"/>
  <c r="E3" i="2"/>
  <c r="D4" i="2"/>
  <c r="E4" i="2"/>
  <c r="D5" i="2"/>
  <c r="E5" i="2"/>
  <c r="D6" i="2"/>
  <c r="E6" i="2"/>
  <c r="D7" i="2"/>
  <c r="E7" i="2"/>
  <c r="D8" i="2"/>
  <c r="E8" i="2"/>
  <c r="D9" i="2"/>
  <c r="E9" i="2"/>
  <c r="D10" i="2"/>
  <c r="E10" i="2"/>
  <c r="D11" i="2"/>
  <c r="E11" i="2"/>
  <c r="C12" i="2"/>
  <c r="C14" i="2" l="1"/>
  <c r="D23" i="2"/>
  <c r="C23" i="2"/>
  <c r="B23" i="2"/>
  <c r="E22" i="2"/>
  <c r="E21" i="2"/>
  <c r="E20" i="2"/>
  <c r="E19" i="2"/>
  <c r="B1" i="2"/>
</calcChain>
</file>

<file path=xl/comments1.xml><?xml version="1.0" encoding="utf-8"?>
<comments xmlns="http://schemas.openxmlformats.org/spreadsheetml/2006/main">
  <authors>
    <author>U</author>
  </authors>
  <commentList>
    <comment ref="C13" authorId="0" shapeId="0">
      <text>
        <r>
          <rPr>
            <b/>
            <sz val="9"/>
            <color indexed="81"/>
            <rFont val="Tahoma"/>
            <family val="2"/>
          </rPr>
          <t>ME LO INVENTE ESTE DATO</t>
        </r>
      </text>
    </comment>
  </commentList>
</comments>
</file>

<file path=xl/sharedStrings.xml><?xml version="1.0" encoding="utf-8"?>
<sst xmlns="http://schemas.openxmlformats.org/spreadsheetml/2006/main" count="26" uniqueCount="26">
  <si>
    <t>Mercadería Ingresada</t>
  </si>
  <si>
    <t>Tarjeteros</t>
  </si>
  <si>
    <t>Producto</t>
  </si>
  <si>
    <t>Correas</t>
  </si>
  <si>
    <t>Billeteras</t>
  </si>
  <si>
    <t>TOTAL</t>
  </si>
  <si>
    <t>MES 1</t>
  </si>
  <si>
    <t>MES 2</t>
  </si>
  <si>
    <t>MES 3</t>
  </si>
  <si>
    <t>MES 4</t>
  </si>
  <si>
    <t>MES 5</t>
  </si>
  <si>
    <t>MES 6</t>
  </si>
  <si>
    <t>MES 7</t>
  </si>
  <si>
    <t>MES 8</t>
  </si>
  <si>
    <t>MES 9</t>
  </si>
  <si>
    <t>MES / Productos</t>
  </si>
  <si>
    <t>TRIMESTRE 1</t>
  </si>
  <si>
    <t>TRIMESTRE 2</t>
  </si>
  <si>
    <t>TRIMESTRE 3</t>
  </si>
  <si>
    <t>Maletines</t>
  </si>
  <si>
    <t>Total de Productos Vendidos</t>
  </si>
  <si>
    <t>Total de Stock Restante</t>
  </si>
  <si>
    <t>X</t>
  </si>
  <si>
    <t>Y</t>
  </si>
  <si>
    <t>XY</t>
  </si>
  <si>
    <t>COEFICIENTE DE CORRELACIÓN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</si>
</sst>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14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b/>
      <sz val="14"/>
      <color theme="1"/>
      <name val="Arial"/>
      <family val="2"/>
    </font>
    <font>
      <b/>
      <sz val="12"/>
      <color theme="0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Calibri"/>
      <family val="2"/>
      <scheme val="minor"/>
    </font>
    <font>
      <b/>
      <sz val="14"/>
      <color rgb="FFFF0000"/>
      <name val="Arial Narrow"/>
      <family val="2"/>
    </font>
    <font>
      <b/>
      <sz val="9"/>
      <color indexed="81"/>
      <name val="Tahoma"/>
      <family val="2"/>
    </font>
    <font>
      <b/>
      <sz val="18"/>
      <name val="Arial"/>
      <family val="2"/>
    </font>
    <font>
      <b/>
      <sz val="16"/>
      <name val="Calibri"/>
      <family val="2"/>
      <scheme val="minor"/>
    </font>
    <font>
      <b/>
      <sz val="13"/>
      <color rgb="FFFF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3" fontId="4" fillId="3" borderId="1" xfId="0" applyNumberFormat="1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3" fillId="0" borderId="0" xfId="0" applyFont="1" applyBorder="1"/>
    <xf numFmtId="3" fontId="3" fillId="9" borderId="1" xfId="0" applyNumberFormat="1" applyFont="1" applyFill="1" applyBorder="1" applyAlignment="1">
      <alignment vertical="center" wrapText="1"/>
    </xf>
    <xf numFmtId="3" fontId="3" fillId="9" borderId="1" xfId="0" applyNumberFormat="1" applyFont="1" applyFill="1" applyBorder="1" applyAlignment="1">
      <alignment horizontal="right" vertical="center" wrapText="1"/>
    </xf>
    <xf numFmtId="0" fontId="3" fillId="9" borderId="1" xfId="0" applyFont="1" applyFill="1" applyBorder="1" applyAlignment="1">
      <alignment vertical="center" wrapText="1"/>
    </xf>
    <xf numFmtId="0" fontId="5" fillId="12" borderId="1" xfId="0" applyFont="1" applyFill="1" applyBorder="1" applyAlignment="1">
      <alignment vertical="center" wrapText="1"/>
    </xf>
    <xf numFmtId="3" fontId="3" fillId="0" borderId="0" xfId="0" applyNumberFormat="1" applyFont="1" applyBorder="1" applyAlignment="1">
      <alignment vertical="center" wrapText="1"/>
    </xf>
    <xf numFmtId="0" fontId="6" fillId="13" borderId="1" xfId="0" applyFont="1" applyFill="1" applyBorder="1" applyAlignment="1">
      <alignment vertical="center" wrapText="1"/>
    </xf>
    <xf numFmtId="3" fontId="7" fillId="10" borderId="1" xfId="0" applyNumberFormat="1" applyFont="1" applyFill="1" applyBorder="1" applyAlignment="1">
      <alignment horizontal="center" vertical="center" wrapText="1"/>
    </xf>
    <xf numFmtId="3" fontId="4" fillId="14" borderId="1" xfId="0" applyNumberFormat="1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3" fontId="3" fillId="7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3" fontId="3" fillId="8" borderId="1" xfId="0" applyNumberFormat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3" fontId="7" fillId="12" borderId="1" xfId="0" applyNumberFormat="1" applyFont="1" applyFill="1" applyBorder="1" applyAlignment="1">
      <alignment horizontal="center" vertical="center" wrapText="1"/>
    </xf>
    <xf numFmtId="3" fontId="2" fillId="2" borderId="1" xfId="0" applyNumberFormat="1" applyFont="1" applyFill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3" fontId="4" fillId="3" borderId="3" xfId="0" applyNumberFormat="1" applyFont="1" applyFill="1" applyBorder="1" applyAlignment="1">
      <alignment horizontal="center" vertical="center" wrapText="1"/>
    </xf>
    <xf numFmtId="0" fontId="9" fillId="0" borderId="0" xfId="0" applyFont="1" applyBorder="1" applyAlignment="1">
      <alignment vertical="center" wrapText="1"/>
    </xf>
    <xf numFmtId="0" fontId="9" fillId="0" borderId="1" xfId="0" applyFont="1" applyBorder="1" applyAlignment="1">
      <alignment vertical="center" wrapText="1"/>
    </xf>
    <xf numFmtId="2" fontId="0" fillId="0" borderId="0" xfId="0" applyNumberFormat="1"/>
    <xf numFmtId="164" fontId="11" fillId="9" borderId="1" xfId="0" applyNumberFormat="1" applyFont="1" applyFill="1" applyBorder="1" applyAlignment="1">
      <alignment horizontal="center" vertical="center" wrapText="1"/>
    </xf>
    <xf numFmtId="0" fontId="13" fillId="2" borderId="8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horizontal="center" vertical="center" wrapText="1"/>
    </xf>
    <xf numFmtId="0" fontId="13" fillId="2" borderId="6" xfId="0" applyFont="1" applyFill="1" applyBorder="1" applyAlignment="1">
      <alignment horizontal="center" vertical="center" wrapText="1"/>
    </xf>
    <xf numFmtId="0" fontId="13" fillId="2" borderId="10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2" xfId="0" applyFont="1" applyFill="1" applyBorder="1" applyAlignment="1">
      <alignment horizontal="center" vertical="center" wrapText="1"/>
    </xf>
    <xf numFmtId="0" fontId="12" fillId="15" borderId="4" xfId="0" applyFont="1" applyFill="1" applyBorder="1" applyAlignment="1">
      <alignment horizontal="center" vertical="center" wrapText="1"/>
    </xf>
    <xf numFmtId="0" fontId="12" fillId="15" borderId="7" xfId="0" applyFont="1" applyFill="1" applyBorder="1" applyAlignment="1">
      <alignment horizontal="center" vertical="center" wrapText="1"/>
    </xf>
    <xf numFmtId="0" fontId="12" fillId="15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PE" sz="1600" b="1" u="none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Diagrama</a:t>
            </a:r>
            <a:r>
              <a:rPr lang="es-PE" sz="1600" b="1" u="none" baseline="0">
                <a:solidFill>
                  <a:srgbClr val="00206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 Dispersión</a:t>
            </a:r>
            <a:endParaRPr lang="es-PE" sz="1600" b="1" u="none">
              <a:solidFill>
                <a:srgbClr val="00206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2536370226393574"/>
          <c:y val="2.122015915119363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P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'DESARROLLO DE PA4'!$C$2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diamond"/>
            <c:size val="11"/>
            <c:spPr>
              <a:solidFill>
                <a:srgbClr val="FFC000"/>
              </a:solidFill>
              <a:ln w="12700">
                <a:solidFill>
                  <a:srgbClr val="FFC000"/>
                </a:solidFill>
                <a:prstDash val="solid"/>
              </a:ln>
              <a:effectLst/>
            </c:spPr>
          </c:marker>
          <c:dLbls>
            <c:dLbl>
              <c:idx val="3"/>
              <c:layout>
                <c:manualLayout>
                  <c:x val="-4.2611111111111113E-2"/>
                  <c:y val="-0.10413203557888598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0BED-41B3-9395-2937141EA23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PE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layout/>
                <c15:showLeaderLines val="0"/>
              </c:ext>
            </c:extLst>
          </c:dLbls>
          <c:trendline>
            <c:spPr>
              <a:ln w="34925" cap="rnd">
                <a:solidFill>
                  <a:srgbClr val="FF0000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2.234864391951006E-2"/>
                  <c:y val="0.15532917760279966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1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PE"/>
                </a:p>
              </c:txPr>
            </c:trendlineLbl>
          </c:trendline>
          <c:xVal>
            <c:numRef>
              <c:f>'DESARROLLO DE PA4'!$B$3:$B$11</c:f>
              <c:numCache>
                <c:formatCode>#,##0</c:formatCode>
                <c:ptCount val="9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</c:numCache>
            </c:numRef>
          </c:xVal>
          <c:yVal>
            <c:numRef>
              <c:f>'DESARROLLO DE PA4'!$C$3:$C$11</c:f>
              <c:numCache>
                <c:formatCode>#,##0</c:formatCode>
                <c:ptCount val="9"/>
                <c:pt idx="0">
                  <c:v>365</c:v>
                </c:pt>
                <c:pt idx="1">
                  <c:v>420</c:v>
                </c:pt>
                <c:pt idx="2">
                  <c:v>240</c:v>
                </c:pt>
                <c:pt idx="3">
                  <c:v>269</c:v>
                </c:pt>
                <c:pt idx="4">
                  <c:v>195</c:v>
                </c:pt>
                <c:pt idx="5">
                  <c:v>433</c:v>
                </c:pt>
                <c:pt idx="6">
                  <c:v>241</c:v>
                </c:pt>
                <c:pt idx="7">
                  <c:v>234</c:v>
                </c:pt>
                <c:pt idx="8">
                  <c:v>175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BED-41B3-9395-2937141EA23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axId val="2011772671"/>
        <c:axId val="2011789727"/>
      </c:scatterChart>
      <c:valAx>
        <c:axId val="20117726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b="1">
                    <a:solidFill>
                      <a:srgbClr val="FF0000"/>
                    </a:solidFill>
                  </a:rPr>
                  <a:t>AÑO</a:t>
                </a:r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15875" cap="sq" cmpd="sng" algn="ctr">
            <a:solidFill>
              <a:schemeClr val="tx1"/>
            </a:solidFill>
            <a:prstDash val="solid"/>
            <a:round/>
            <a:headEnd type="none"/>
            <a:tailEnd type="arrow" w="med" len="sm"/>
          </a:ln>
          <a:effectLst/>
        </c:spPr>
        <c:txPr>
          <a:bodyPr rot="0" spcFirstLastPara="1" vertOverflow="ellipsis" wrap="square" anchor="ctr" anchorCtr="0"/>
          <a:lstStyle/>
          <a:p>
            <a:pPr>
              <a:defRPr sz="9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11789727"/>
        <c:crosses val="autoZero"/>
        <c:crossBetween val="midCat"/>
      </c:valAx>
      <c:valAx>
        <c:axId val="201178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bg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FF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PE" b="1">
                    <a:solidFill>
                      <a:srgbClr val="FF0000"/>
                    </a:solidFill>
                  </a:rPr>
                  <a:t>N° DE VENTAS</a:t>
                </a:r>
              </a:p>
            </c:rich>
          </c:tx>
          <c:layout>
            <c:manualLayout>
              <c:xMode val="edge"/>
              <c:yMode val="edge"/>
              <c:x val="1.6171619262963444E-2"/>
              <c:y val="0.374923452870778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FF0000"/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 w="15875">
            <a:solidFill>
              <a:schemeClr val="tx1"/>
            </a:solidFill>
            <a:headEnd type="none"/>
            <a:tailEnd type="arrow"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2011772671"/>
        <c:crosses val="autoZero"/>
        <c:crossBetween val="midCat"/>
      </c:valAx>
      <c:spPr>
        <a:solidFill>
          <a:schemeClr val="accent5">
            <a:lumMod val="40000"/>
            <a:lumOff val="60000"/>
          </a:schemeClr>
        </a:solidFill>
        <a:ln>
          <a:noFill/>
        </a:ln>
        <a:effectLst/>
        <a:scene3d>
          <a:camera prst="orthographicFront"/>
          <a:lightRig rig="threePt" dir="t"/>
        </a:scene3d>
      </c:spPr>
    </c:plotArea>
    <c:plotVisOnly val="1"/>
    <c:dispBlanksAs val="gap"/>
    <c:showDLblsOverMax val="0"/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108857</xdr:colOff>
      <xdr:row>0</xdr:row>
      <xdr:rowOff>83004</xdr:rowOff>
    </xdr:from>
    <xdr:to>
      <xdr:col>13</xdr:col>
      <xdr:colOff>272142</xdr:colOff>
      <xdr:row>12</xdr:row>
      <xdr:rowOff>367393</xdr:rowOff>
    </xdr:to>
    <xdr:graphicFrame macro="">
      <xdr:nvGraphicFramePr>
        <xdr:cNvPr id="5" name="Grá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oneCellAnchor>
    <xdr:from>
      <xdr:col>3</xdr:col>
      <xdr:colOff>452437</xdr:colOff>
      <xdr:row>1</xdr:row>
      <xdr:rowOff>9525</xdr:rowOff>
    </xdr:from>
    <xdr:ext cx="290513" cy="1960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3" name="CuadroTexto 2"/>
            <xdr:cNvSpPr txBox="1"/>
          </xdr:nvSpPr>
          <xdr:spPr>
            <a:xfrm>
              <a:off x="6110287" y="361950"/>
              <a:ext cx="290513" cy="196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PE" sz="1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PE" sz="1200" b="1" i="1">
                            <a:latin typeface="Cambria Math" panose="02040503050406030204" pitchFamily="18" charset="0"/>
                          </a:rPr>
                          <m:t>𝑿</m:t>
                        </m:r>
                      </m:e>
                      <m:sup>
                        <m:r>
                          <a:rPr lang="es-PE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s-PE" sz="1200" b="1" i="1"/>
            </a:p>
          </xdr:txBody>
        </xdr:sp>
      </mc:Choice>
      <mc:Fallback xmlns="">
        <xdr:sp macro="" textlink="">
          <xdr:nvSpPr>
            <xdr:cNvPr id="3" name="CuadroTexto 2"/>
            <xdr:cNvSpPr txBox="1"/>
          </xdr:nvSpPr>
          <xdr:spPr>
            <a:xfrm>
              <a:off x="6110287" y="361950"/>
              <a:ext cx="290513" cy="196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200" b="1" i="0">
                  <a:latin typeface="Cambria Math" panose="02040503050406030204" pitchFamily="18" charset="0"/>
                </a:rPr>
                <a:t>𝑿^𝟐</a:t>
              </a:r>
              <a:endParaRPr lang="es-PE" sz="1200" b="1" i="1"/>
            </a:p>
          </xdr:txBody>
        </xdr:sp>
      </mc:Fallback>
    </mc:AlternateContent>
    <xdr:clientData/>
  </xdr:oneCellAnchor>
  <xdr:oneCellAnchor>
    <xdr:from>
      <xdr:col>4</xdr:col>
      <xdr:colOff>395287</xdr:colOff>
      <xdr:row>0</xdr:row>
      <xdr:rowOff>352424</xdr:rowOff>
    </xdr:from>
    <xdr:ext cx="338138" cy="196016"/>
    <mc:AlternateContent xmlns:mc="http://schemas.openxmlformats.org/markup-compatibility/2006" xmlns:a14="http://schemas.microsoft.com/office/drawing/2010/main">
      <mc:Choice Requires="a14">
        <xdr:sp macro="" textlink="">
          <xdr:nvSpPr>
            <xdr:cNvPr id="6" name="CuadroTexto 5"/>
            <xdr:cNvSpPr txBox="1"/>
          </xdr:nvSpPr>
          <xdr:spPr>
            <a:xfrm>
              <a:off x="5072062" y="352424"/>
              <a:ext cx="338138" cy="196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pPr/>
              <a14:m>
                <m:oMathPara xmlns:m="http://schemas.openxmlformats.org/officeDocument/2006/math">
                  <m:oMathParaPr>
                    <m:jc m:val="centerGroup"/>
                  </m:oMathParaPr>
                  <m:oMath xmlns:m="http://schemas.openxmlformats.org/officeDocument/2006/math">
                    <m:sSup>
                      <m:sSupPr>
                        <m:ctrlPr>
                          <a:rPr lang="es-PE" sz="1200" b="1" i="1">
                            <a:latin typeface="Cambria Math" panose="02040503050406030204" pitchFamily="18" charset="0"/>
                          </a:rPr>
                        </m:ctrlPr>
                      </m:sSupPr>
                      <m:e>
                        <m:r>
                          <a:rPr lang="es-PE" sz="1200" b="1" i="1">
                            <a:latin typeface="Cambria Math" panose="02040503050406030204" pitchFamily="18" charset="0"/>
                          </a:rPr>
                          <m:t>𝒀</m:t>
                        </m:r>
                      </m:e>
                      <m:sup>
                        <m:r>
                          <a:rPr lang="es-PE" sz="1200" b="1" i="1">
                            <a:latin typeface="Cambria Math" panose="02040503050406030204" pitchFamily="18" charset="0"/>
                          </a:rPr>
                          <m:t>𝟐</m:t>
                        </m:r>
                      </m:sup>
                    </m:sSup>
                  </m:oMath>
                </m:oMathPara>
              </a14:m>
              <a:endParaRPr lang="es-PE" sz="1200" b="1" i="1"/>
            </a:p>
          </xdr:txBody>
        </xdr:sp>
      </mc:Choice>
      <mc:Fallback xmlns="">
        <xdr:sp macro="" textlink="">
          <xdr:nvSpPr>
            <xdr:cNvPr id="6" name="CuadroTexto 5"/>
            <xdr:cNvSpPr txBox="1"/>
          </xdr:nvSpPr>
          <xdr:spPr>
            <a:xfrm>
              <a:off x="5072062" y="352424"/>
              <a:ext cx="338138" cy="196016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PE" sz="1200" b="1" i="0">
                  <a:latin typeface="Cambria Math" panose="02040503050406030204" pitchFamily="18" charset="0"/>
                </a:rPr>
                <a:t>𝒀^𝟐</a:t>
              </a:r>
              <a:endParaRPr lang="es-PE" sz="1200" b="1" i="1"/>
            </a:p>
          </xdr:txBody>
        </xdr:sp>
      </mc:Fallback>
    </mc:AlternateContent>
    <xdr:clientData/>
  </xdr:oneCellAnchor>
  <xdr:twoCellAnchor editAs="oneCell">
    <xdr:from>
      <xdr:col>13</xdr:col>
      <xdr:colOff>383192</xdr:colOff>
      <xdr:row>0</xdr:row>
      <xdr:rowOff>81644</xdr:rowOff>
    </xdr:from>
    <xdr:to>
      <xdr:col>24</xdr:col>
      <xdr:colOff>81644</xdr:colOff>
      <xdr:row>15</xdr:row>
      <xdr:rowOff>27213</xdr:rowOff>
    </xdr:to>
    <xdr:pic>
      <xdr:nvPicPr>
        <xdr:cNvPr id="8" name="Imagen 7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493549" y="81644"/>
          <a:ext cx="8080452" cy="4585605"/>
        </a:xfrm>
        <a:prstGeom prst="rect">
          <a:avLst/>
        </a:prstGeom>
      </xdr:spPr>
    </xdr:pic>
    <xdr:clientData/>
  </xdr:twoCellAnchor>
  <xdr:twoCellAnchor editAs="oneCell">
    <xdr:from>
      <xdr:col>13</xdr:col>
      <xdr:colOff>255274</xdr:colOff>
      <xdr:row>15</xdr:row>
      <xdr:rowOff>68036</xdr:rowOff>
    </xdr:from>
    <xdr:to>
      <xdr:col>24</xdr:col>
      <xdr:colOff>40821</xdr:colOff>
      <xdr:row>33</xdr:row>
      <xdr:rowOff>176893</xdr:rowOff>
    </xdr:to>
    <xdr:pic>
      <xdr:nvPicPr>
        <xdr:cNvPr id="9" name="Imagen 8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365631" y="4708072"/>
          <a:ext cx="8167547" cy="38236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K23"/>
  <sheetViews>
    <sheetView showGridLines="0" tabSelected="1" zoomScale="70" zoomScaleNormal="70" workbookViewId="0">
      <selection activeCell="K19" sqref="K19"/>
    </sheetView>
  </sheetViews>
  <sheetFormatPr baseColWidth="10" defaultRowHeight="15" x14ac:dyDescent="0.25"/>
  <cols>
    <col min="1" max="1" width="13.85546875" customWidth="1"/>
    <col min="2" max="2" width="17.5703125" customWidth="1"/>
    <col min="3" max="3" width="22" bestFit="1" customWidth="1"/>
    <col min="4" max="4" width="16.7109375" bestFit="1" customWidth="1"/>
    <col min="5" max="6" width="15.7109375" customWidth="1"/>
  </cols>
  <sheetData>
    <row r="1" spans="1:11" ht="27.75" customHeight="1" x14ac:dyDescent="0.25">
      <c r="A1" s="29" t="s">
        <v>15</v>
      </c>
      <c r="B1" s="31" t="str">
        <f>UPPER("Billetera Cuero de Vestir")</f>
        <v>BILLETERA CUERO DE VESTIR</v>
      </c>
      <c r="C1" s="32"/>
      <c r="D1" s="32"/>
      <c r="E1" s="32"/>
      <c r="F1" s="33"/>
    </row>
    <row r="2" spans="1:11" ht="15" customHeight="1" x14ac:dyDescent="0.25">
      <c r="A2" s="30"/>
      <c r="B2" s="16" t="s">
        <v>22</v>
      </c>
      <c r="C2" s="16" t="s">
        <v>23</v>
      </c>
      <c r="D2" s="16"/>
      <c r="E2" s="16"/>
      <c r="F2" s="16" t="s">
        <v>24</v>
      </c>
    </row>
    <row r="3" spans="1:11" ht="18" x14ac:dyDescent="0.25">
      <c r="A3" s="10" t="s">
        <v>6</v>
      </c>
      <c r="B3" s="13">
        <v>1</v>
      </c>
      <c r="C3" s="13">
        <v>365</v>
      </c>
      <c r="D3" s="13">
        <f t="shared" ref="D3:D11" si="0">B3*B3</f>
        <v>1</v>
      </c>
      <c r="E3" s="13">
        <f t="shared" ref="E3:E11" si="1">C3*C3</f>
        <v>133225</v>
      </c>
      <c r="F3" s="13">
        <f>B3*C3</f>
        <v>365</v>
      </c>
    </row>
    <row r="4" spans="1:11" ht="18" x14ac:dyDescent="0.25">
      <c r="A4" s="10" t="s">
        <v>7</v>
      </c>
      <c r="B4" s="13">
        <v>2</v>
      </c>
      <c r="C4" s="13">
        <v>420</v>
      </c>
      <c r="D4" s="13">
        <f t="shared" si="0"/>
        <v>4</v>
      </c>
      <c r="E4" s="13">
        <f t="shared" si="1"/>
        <v>176400</v>
      </c>
      <c r="F4" s="13">
        <f t="shared" ref="F4:F11" si="2">B4*C4</f>
        <v>840</v>
      </c>
    </row>
    <row r="5" spans="1:11" ht="18" x14ac:dyDescent="0.25">
      <c r="A5" s="10" t="s">
        <v>8</v>
      </c>
      <c r="B5" s="13">
        <v>3</v>
      </c>
      <c r="C5" s="13">
        <v>240</v>
      </c>
      <c r="D5" s="13">
        <f t="shared" si="0"/>
        <v>9</v>
      </c>
      <c r="E5" s="13">
        <f t="shared" si="1"/>
        <v>57600</v>
      </c>
      <c r="F5" s="13">
        <f t="shared" si="2"/>
        <v>720</v>
      </c>
    </row>
    <row r="6" spans="1:11" ht="18" x14ac:dyDescent="0.25">
      <c r="A6" s="11" t="s">
        <v>9</v>
      </c>
      <c r="B6" s="14">
        <v>4</v>
      </c>
      <c r="C6" s="14">
        <v>269</v>
      </c>
      <c r="D6" s="14">
        <f t="shared" si="0"/>
        <v>16</v>
      </c>
      <c r="E6" s="14">
        <f t="shared" si="1"/>
        <v>72361</v>
      </c>
      <c r="F6" s="14">
        <f t="shared" si="2"/>
        <v>1076</v>
      </c>
    </row>
    <row r="7" spans="1:11" ht="18" x14ac:dyDescent="0.25">
      <c r="A7" s="11" t="s">
        <v>10</v>
      </c>
      <c r="B7" s="14">
        <v>5</v>
      </c>
      <c r="C7" s="14">
        <v>195</v>
      </c>
      <c r="D7" s="14">
        <f t="shared" si="0"/>
        <v>25</v>
      </c>
      <c r="E7" s="14">
        <f t="shared" si="1"/>
        <v>38025</v>
      </c>
      <c r="F7" s="14">
        <f t="shared" si="2"/>
        <v>975</v>
      </c>
    </row>
    <row r="8" spans="1:11" ht="18" x14ac:dyDescent="0.25">
      <c r="A8" s="11" t="s">
        <v>11</v>
      </c>
      <c r="B8" s="14">
        <v>6</v>
      </c>
      <c r="C8" s="14">
        <v>433</v>
      </c>
      <c r="D8" s="14">
        <f t="shared" si="0"/>
        <v>36</v>
      </c>
      <c r="E8" s="14">
        <f t="shared" si="1"/>
        <v>187489</v>
      </c>
      <c r="F8" s="14">
        <f t="shared" si="2"/>
        <v>2598</v>
      </c>
    </row>
    <row r="9" spans="1:11" ht="18" x14ac:dyDescent="0.25">
      <c r="A9" s="12" t="s">
        <v>12</v>
      </c>
      <c r="B9" s="15">
        <v>7</v>
      </c>
      <c r="C9" s="15">
        <v>241</v>
      </c>
      <c r="D9" s="15">
        <f t="shared" si="0"/>
        <v>49</v>
      </c>
      <c r="E9" s="15">
        <f t="shared" si="1"/>
        <v>58081</v>
      </c>
      <c r="F9" s="15">
        <f t="shared" si="2"/>
        <v>1687</v>
      </c>
    </row>
    <row r="10" spans="1:11" ht="18" x14ac:dyDescent="0.25">
      <c r="A10" s="12" t="s">
        <v>13</v>
      </c>
      <c r="B10" s="15">
        <v>8</v>
      </c>
      <c r="C10" s="15">
        <v>234</v>
      </c>
      <c r="D10" s="15">
        <f t="shared" si="0"/>
        <v>64</v>
      </c>
      <c r="E10" s="15">
        <f t="shared" si="1"/>
        <v>54756</v>
      </c>
      <c r="F10" s="15">
        <f t="shared" si="2"/>
        <v>1872</v>
      </c>
    </row>
    <row r="11" spans="1:11" ht="18" x14ac:dyDescent="0.25">
      <c r="A11" s="12" t="s">
        <v>14</v>
      </c>
      <c r="B11" s="15">
        <v>9</v>
      </c>
      <c r="C11" s="15">
        <v>175</v>
      </c>
      <c r="D11" s="15">
        <f t="shared" si="0"/>
        <v>81</v>
      </c>
      <c r="E11" s="15">
        <f t="shared" si="1"/>
        <v>30625</v>
      </c>
      <c r="F11" s="15">
        <f t="shared" si="2"/>
        <v>1575</v>
      </c>
    </row>
    <row r="12" spans="1:11" ht="54" x14ac:dyDescent="0.25">
      <c r="A12" s="19" t="s">
        <v>20</v>
      </c>
      <c r="B12" s="1">
        <f>SUM(B3:B11)</f>
        <v>45</v>
      </c>
      <c r="C12" s="20">
        <f>SUM(C3:C11)</f>
        <v>2572</v>
      </c>
      <c r="D12" s="1">
        <f>SUM(D3:D11)</f>
        <v>285</v>
      </c>
      <c r="E12" s="1">
        <f t="shared" ref="E12:F12" si="3">SUM(E3:E11)</f>
        <v>808562</v>
      </c>
      <c r="F12" s="1">
        <f t="shared" si="3"/>
        <v>11708</v>
      </c>
    </row>
    <row r="13" spans="1:11" ht="36" x14ac:dyDescent="0.25">
      <c r="A13" s="22" t="s">
        <v>0</v>
      </c>
      <c r="B13" s="21"/>
      <c r="C13" s="1">
        <v>2700</v>
      </c>
    </row>
    <row r="14" spans="1:11" ht="54" x14ac:dyDescent="0.25">
      <c r="A14" s="22" t="s">
        <v>21</v>
      </c>
      <c r="B14" s="21"/>
      <c r="C14" s="17">
        <f>C13-C12</f>
        <v>128</v>
      </c>
    </row>
    <row r="15" spans="1:11" x14ac:dyDescent="0.25">
      <c r="H15" s="23"/>
    </row>
    <row r="16" spans="1:11" ht="18" customHeight="1" x14ac:dyDescent="0.25">
      <c r="I16" s="25" t="s">
        <v>25</v>
      </c>
      <c r="J16" s="26"/>
      <c r="K16" s="24">
        <f>CORREL(B3:B11,C3:C11)</f>
        <v>-0.54841641817267728</v>
      </c>
    </row>
    <row r="17" spans="1:11" ht="19.5" customHeight="1" x14ac:dyDescent="0.25">
      <c r="I17" s="27"/>
      <c r="J17" s="28"/>
      <c r="K17" s="24"/>
    </row>
    <row r="18" spans="1:11" ht="15.75" x14ac:dyDescent="0.25">
      <c r="A18" s="2" t="s">
        <v>2</v>
      </c>
      <c r="B18" s="2" t="s">
        <v>16</v>
      </c>
      <c r="C18" s="2" t="s">
        <v>17</v>
      </c>
      <c r="D18" s="2" t="s">
        <v>18</v>
      </c>
      <c r="E18" s="3"/>
    </row>
    <row r="19" spans="1:11" ht="18" x14ac:dyDescent="0.25">
      <c r="A19" s="9" t="s">
        <v>3</v>
      </c>
      <c r="B19" s="4">
        <v>1575</v>
      </c>
      <c r="C19" s="4">
        <v>1182</v>
      </c>
      <c r="D19" s="4">
        <v>1400</v>
      </c>
      <c r="E19" s="18">
        <f>SUM(B19:D19)</f>
        <v>4157</v>
      </c>
    </row>
    <row r="20" spans="1:11" ht="18" x14ac:dyDescent="0.25">
      <c r="A20" s="9" t="s">
        <v>4</v>
      </c>
      <c r="B20" s="5">
        <v>2353</v>
      </c>
      <c r="C20" s="5">
        <v>2647</v>
      </c>
      <c r="D20" s="5">
        <v>2247</v>
      </c>
      <c r="E20" s="18">
        <f t="shared" ref="E20:E22" si="4">SUM(B20:D20)</f>
        <v>7247</v>
      </c>
    </row>
    <row r="21" spans="1:11" ht="18" x14ac:dyDescent="0.25">
      <c r="A21" s="9" t="s">
        <v>19</v>
      </c>
      <c r="B21" s="6">
        <v>343</v>
      </c>
      <c r="C21" s="6">
        <v>364</v>
      </c>
      <c r="D21" s="6">
        <v>241</v>
      </c>
      <c r="E21" s="18">
        <f t="shared" si="4"/>
        <v>948</v>
      </c>
    </row>
    <row r="22" spans="1:11" ht="18" x14ac:dyDescent="0.25">
      <c r="A22" s="9" t="s">
        <v>1</v>
      </c>
      <c r="B22" s="4">
        <v>339</v>
      </c>
      <c r="C22" s="4">
        <v>366</v>
      </c>
      <c r="D22" s="4">
        <v>378</v>
      </c>
      <c r="E22" s="18">
        <f t="shared" si="4"/>
        <v>1083</v>
      </c>
    </row>
    <row r="23" spans="1:11" ht="15.75" x14ac:dyDescent="0.25">
      <c r="A23" s="7" t="s">
        <v>5</v>
      </c>
      <c r="B23" s="18">
        <f>SUM(B19:B22)</f>
        <v>4610</v>
      </c>
      <c r="C23" s="18">
        <f>SUM(C19:C22)</f>
        <v>4559</v>
      </c>
      <c r="D23" s="18">
        <f>SUM(D19:D22)</f>
        <v>4266</v>
      </c>
      <c r="E23" s="8"/>
    </row>
  </sheetData>
  <mergeCells count="4">
    <mergeCell ref="K16:K17"/>
    <mergeCell ref="I16:J17"/>
    <mergeCell ref="A1:A2"/>
    <mergeCell ref="B1:F1"/>
  </mergeCells>
  <pageMargins left="0.7" right="0.7" top="0.75" bottom="0.75" header="0.3" footer="0.3"/>
  <pageSetup paperSize="9" orientation="portrait" horizontalDpi="0" verticalDpi="0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DESARROLLO DE PA4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</dc:creator>
  <cp:lastModifiedBy>U</cp:lastModifiedBy>
  <cp:lastPrinted>2025-06-11T07:10:40Z</cp:lastPrinted>
  <dcterms:created xsi:type="dcterms:W3CDTF">2025-06-11T05:45:10Z</dcterms:created>
  <dcterms:modified xsi:type="dcterms:W3CDTF">2025-06-28T11:29:36Z</dcterms:modified>
</cp:coreProperties>
</file>